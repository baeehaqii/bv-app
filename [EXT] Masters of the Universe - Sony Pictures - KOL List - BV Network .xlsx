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croMicro" sheetId="1" r:id="rId5"/>
    <sheet state="visible" name="Approval" sheetId="2" r:id="rId6"/>
    <sheet state="visible" name="Tracker" sheetId="3" r:id="rId7"/>
  </sheets>
  <definedNames>
    <definedName hidden="1" localSheetId="0" name="_xlnm._FilterDatabase">MacroMicro!$F$1:$F$458</definedName>
  </definedNames>
  <calcPr/>
</workbook>
</file>

<file path=xl/sharedStrings.xml><?xml version="1.0" encoding="utf-8"?>
<sst xmlns="http://schemas.openxmlformats.org/spreadsheetml/2006/main" count="466" uniqueCount="190">
  <si>
    <t>MEDIA PLAN - Masters of the Universe - Sony Pictures</t>
  </si>
  <si>
    <t>No</t>
  </si>
  <si>
    <t>Status</t>
  </si>
  <si>
    <t>Username</t>
  </si>
  <si>
    <t>Link</t>
  </si>
  <si>
    <t>Channel</t>
  </si>
  <si>
    <t>Categories</t>
  </si>
  <si>
    <t>Followers</t>
  </si>
  <si>
    <t>Tier</t>
  </si>
  <si>
    <t>ER %</t>
  </si>
  <si>
    <t xml:space="preserve">Avg Views </t>
  </si>
  <si>
    <t>Engagement</t>
  </si>
  <si>
    <t>Scope of Work</t>
  </si>
  <si>
    <t>Rate</t>
  </si>
  <si>
    <t>Dom</t>
  </si>
  <si>
    <t>Notes</t>
  </si>
  <si>
    <t>Request Client</t>
  </si>
  <si>
    <t>Qty</t>
  </si>
  <si>
    <t>Item</t>
  </si>
  <si>
    <t>Approved by Client</t>
  </si>
  <si>
    <t>adifi_</t>
  </si>
  <si>
    <t>www.tiktok.com/@adifi_</t>
  </si>
  <si>
    <t>TikTok</t>
  </si>
  <si>
    <t>Movie Reviewer</t>
  </si>
  <si>
    <t>1x TikTok Video
Visit to The Breeze, BSD City</t>
  </si>
  <si>
    <t>TT Video</t>
  </si>
  <si>
    <t>BSD</t>
  </si>
  <si>
    <t>Event Attendance</t>
  </si>
  <si>
    <t>Need Confirmation</t>
  </si>
  <si>
    <t>ilhahoam</t>
  </si>
  <si>
    <t>www.tiktok.com/@ilhahoam1</t>
  </si>
  <si>
    <t>Rejected</t>
  </si>
  <si>
    <t>kadin5s</t>
  </si>
  <si>
    <t>www.tiktok.com/@kadin5s</t>
  </si>
  <si>
    <t>Jakarta Timur</t>
  </si>
  <si>
    <t>winnerizky</t>
  </si>
  <si>
    <t>https://www.tiktok.com/@winnerizky</t>
  </si>
  <si>
    <t>re.sireview.film</t>
  </si>
  <si>
    <t>www.tiktok.com/@re.sireview.film</t>
  </si>
  <si>
    <t>Approaching</t>
  </si>
  <si>
    <t>intantan41</t>
  </si>
  <si>
    <t>www.tiktok.com/@intantan41</t>
  </si>
  <si>
    <t>Make Up Artist</t>
  </si>
  <si>
    <t>gelardino99</t>
  </si>
  <si>
    <t>www.tiktok.com/@gelardino99</t>
  </si>
  <si>
    <t>Cosplayer</t>
  </si>
  <si>
    <t>Semarang</t>
  </si>
  <si>
    <t>Accomodation &amp; Transportation reimbursement dari Semarang</t>
  </si>
  <si>
    <t>notthatwit</t>
  </si>
  <si>
    <t>www.tiktok.com/@bukanawit</t>
  </si>
  <si>
    <t>eonni.elma</t>
  </si>
  <si>
    <t>www.tiktok.com/@eonni.elma</t>
  </si>
  <si>
    <t>lindafebrianaaa</t>
  </si>
  <si>
    <t>www.tiktok.com/@lindafebrianaaa</t>
  </si>
  <si>
    <t>rifkyprasodjo</t>
  </si>
  <si>
    <t>www.tiktok.com/@rifkyprasodjo</t>
  </si>
  <si>
    <t>Jakarta Selatan</t>
  </si>
  <si>
    <t>woodcocktv</t>
  </si>
  <si>
    <t>www.tiktok.com/@woodcocktv</t>
  </si>
  <si>
    <t>ombwokreviewer</t>
  </si>
  <si>
    <t>www.tiktok.com/@ombewokreviewer</t>
  </si>
  <si>
    <t>Replacement KOL Kadin</t>
  </si>
  <si>
    <t>ramsest00</t>
  </si>
  <si>
    <t>www.tiktok.com/@ramsest00</t>
  </si>
  <si>
    <t>Comedy</t>
  </si>
  <si>
    <t>Pondok Aren, Tangerang Selatan</t>
  </si>
  <si>
    <t>branovams</t>
  </si>
  <si>
    <t>www.tiktok.com/@branovams</t>
  </si>
  <si>
    <t>cornella_oct</t>
  </si>
  <si>
    <t>tiktok.com/@cornellaoct</t>
  </si>
  <si>
    <t>Inc. Mirror IG Reels + Repost Story</t>
  </si>
  <si>
    <t>additional fee untuk transport (+1 pendamping) &amp; akomodasi dari Semarang</t>
  </si>
  <si>
    <t>_alikaalyyy</t>
  </si>
  <si>
    <t>PIK 2, Jakarta Utara</t>
  </si>
  <si>
    <t>Perkiraan transportation berangkat, exc. toll</t>
  </si>
  <si>
    <t>gallent_dave</t>
  </si>
  <si>
    <t>https://www.tiktok.com/@gallent_dave</t>
  </si>
  <si>
    <t>Yogyakarta</t>
  </si>
  <si>
    <t>Inc. Mirror IG Reels</t>
  </si>
  <si>
    <t>exc. transport &amp; akomodasi, Bonus IG Reels, Story</t>
  </si>
  <si>
    <t>marucatfamily</t>
  </si>
  <si>
    <t>https://www.tiktok.com/@marucatfamily</t>
  </si>
  <si>
    <t>Pet Content Creator</t>
  </si>
  <si>
    <t>Bandung</t>
  </si>
  <si>
    <t>Visit Jabodetabek</t>
  </si>
  <si>
    <t>Khoyrunnisa Budiasih</t>
  </si>
  <si>
    <t>https://www.tiktok.com/@khoyrunnisabudiasih14?_r=1&amp;_t=ZS-9572p1t0RyH</t>
  </si>
  <si>
    <t>Bapak-bapak</t>
  </si>
  <si>
    <t>Yrkartoyo</t>
  </si>
  <si>
    <t>https://www.tiktok.com/@yrkartoyo?_r=1&amp;_t=ZS-9572hbLxkiT</t>
  </si>
  <si>
    <t>Tidak visit</t>
  </si>
  <si>
    <t>Felix Sudjiman</t>
  </si>
  <si>
    <t>https://www.tiktok.com/@felvel817?_r=1&amp;_t=ZS-94hWPX7Lkd3</t>
  </si>
  <si>
    <t>Thalia POV istri dokter</t>
  </si>
  <si>
    <t>https://www.tiktok.com/@josephinethaliaa?_r=1&amp;_t=ZS-94hT6sNxs5l</t>
  </si>
  <si>
    <t>Ahyaruzan</t>
  </si>
  <si>
    <t>https://www.tiktok.com/@mr.coyk?_r=1&amp;_t=ZS-94kwVtXjR4f</t>
  </si>
  <si>
    <t>Flying soumen</t>
  </si>
  <si>
    <t>tiktok.com/@flyingsoumen</t>
  </si>
  <si>
    <t>Zia</t>
  </si>
  <si>
    <t>tiktok.com/@zia_knypov</t>
  </si>
  <si>
    <t>Enz d Yeager</t>
  </si>
  <si>
    <t>tiktok.com/@enzd.yeager</t>
  </si>
  <si>
    <t>Red</t>
  </si>
  <si>
    <t>tiktok.com/@knocksonheavensdoor</t>
  </si>
  <si>
    <t>Joshua Steven</t>
  </si>
  <si>
    <t>https://www.tiktok.com/@joshuasteven_</t>
  </si>
  <si>
    <t>Nyakweterus</t>
  </si>
  <si>
    <t>https://www.tiktok.com/@nyakweterus_</t>
  </si>
  <si>
    <t>Haikal Ken</t>
  </si>
  <si>
    <t>https://www.tiktok.com/@pemudark</t>
  </si>
  <si>
    <t>Freaky Faade</t>
  </si>
  <si>
    <t>https://www.tiktok.com/@freaky.tricky</t>
  </si>
  <si>
    <t>Louisa and floren</t>
  </si>
  <si>
    <t>https://www.tiktok.com/@louisandfloren</t>
  </si>
  <si>
    <t>-</t>
  </si>
  <si>
    <t>Replacement visit KOL Kadin</t>
  </si>
  <si>
    <t>AVAILABLE</t>
  </si>
  <si>
    <t>Sub Total Cost</t>
  </si>
  <si>
    <t>PPN Final</t>
  </si>
  <si>
    <t>Grand Total</t>
  </si>
  <si>
    <t>Campaign Name :</t>
  </si>
  <si>
    <t>Masters of the Universe</t>
  </si>
  <si>
    <t xml:space="preserve">Timeline : </t>
  </si>
  <si>
    <t>Week 1 - June 2026</t>
  </si>
  <si>
    <t>Bukti Posting :</t>
  </si>
  <si>
    <t>BEYOND VIRAL TRACKER
Masters of the Universe - June 2026</t>
  </si>
  <si>
    <t>SOW</t>
  </si>
  <si>
    <t>Draft Storyline</t>
  </si>
  <si>
    <t>Feedback Client</t>
  </si>
  <si>
    <t>Draft Revisi Storyline</t>
  </si>
  <si>
    <t xml:space="preserve">Draft Video </t>
  </si>
  <si>
    <t>Draft Revisi 1</t>
  </si>
  <si>
    <t>Draft Revisi 2</t>
  </si>
  <si>
    <t>Draft Revisi 3</t>
  </si>
  <si>
    <t>Final Revisi</t>
  </si>
  <si>
    <t>Caption</t>
  </si>
  <si>
    <t>Posting Link</t>
  </si>
  <si>
    <t>Posting Date</t>
  </si>
  <si>
    <t>1x TikTok Video
Visit</t>
  </si>
  <si>
    <r>
      <rPr>
        <color rgb="FF1155CC"/>
        <u/>
      </rPr>
      <t>www.tiktok.com/@adifi_</t>
    </r>
    <r>
      <rPr/>
      <t xml:space="preserve"> </t>
    </r>
  </si>
  <si>
    <t>KOL Done Posting</t>
  </si>
  <si>
    <t>https://docs.google.com/document/d/1J9Qq86adtNVMjTzkxQtnZnSiFy_7ejQ4-cQyXaPG9_k/edit?tab=t.0</t>
  </si>
  <si>
    <t>OK</t>
  </si>
  <si>
    <t>https://drive.google.com/file/d/1nrABUmQTjMCmtZs4DR4pm0DZ2zcb7SFg/view?usp=drive_link</t>
  </si>
  <si>
    <t>masters of the universe ya, bukan master</t>
  </si>
  <si>
    <t>https://drive.google.com/file/d/1yyEBoNmrytdiimIN1l-3IDRAYaj62v4Q/view?usp=drive_link</t>
  </si>
  <si>
    <t>Caption : Review dan bahas film "Masters Of The Universe" #MastersOfTheUniverse #FilmMastersOfTheUniverse #RekomendasiFilm #HeMan #NicholasGalitzine</t>
  </si>
  <si>
    <t>https://www.tiktok.com/@adifi_/video/7649246091145121045</t>
  </si>
  <si>
    <r>
      <rPr>
        <color rgb="FF1155CC"/>
        <u/>
      </rPr>
      <t>www.tiktok.com/@kadin5s</t>
    </r>
    <r>
      <rPr/>
      <t xml:space="preserve"> </t>
    </r>
  </si>
  <si>
    <t>KOL Cancel</t>
  </si>
  <si>
    <t>1x TikTok Video</t>
  </si>
  <si>
    <r>
      <rPr>
        <color rgb="FF1155CC"/>
        <u/>
      </rPr>
      <t>www.tiktok.com/@ramsest00</t>
    </r>
    <r>
      <rPr/>
      <t xml:space="preserve"> </t>
    </r>
  </si>
  <si>
    <t>Waiting KOL Posting</t>
  </si>
  <si>
    <t>https://docs.google.com/document/d/1q7muVzsWHAkpfT0WSa6coDpOrRAG5GxsCffnGMheM7A/edit?tab=t.0</t>
  </si>
  <si>
    <t>Ramses cuma gitu aja atau nantinya ada cuplikan dia sama temennya beneran nonton?
OK bisa jalan</t>
  </si>
  <si>
    <t>https://drive.google.com/file/d/1oNjdL9uFkNGBxXapYqheqOxEPvukdmRT/view?usp=drive_link</t>
  </si>
  <si>
    <t>Caption :
Ada yang mau di ajarin sihir gak? 
#komedi #MastersOfTheUniverse #Film #HeMan</t>
  </si>
  <si>
    <r>
      <rPr>
        <color rgb="FF1155CC"/>
        <u/>
      </rPr>
      <t>https://www.tiktok.com/@marucatfamily</t>
    </r>
    <r>
      <rPr/>
      <t xml:space="preserve"> </t>
    </r>
  </si>
  <si>
    <t>https://docs.google.com/document/d/1eABC0VENWlSSB1eJWtcuK5XftyK_TLUVzM5eTAqW1QU/edit?tab=t.0</t>
  </si>
  <si>
    <t>https://drive.google.com/file/d/1ME0s6rY-4M6SbV3hbYQ0pk0pTO3j75cC/view?usp=sharing</t>
  </si>
  <si>
    <t>Misi Nastar menyelematkan Eternia bersama He-Man✨
Yuk nonton sekarang The Masters of the Universe di bioskop kesayangan</t>
  </si>
  <si>
    <r>
      <rPr>
        <color rgb="FF1155CC"/>
        <u/>
      </rPr>
      <t>https://www.tiktok.com/@felvel817?_r=1&amp;_t=ZS-94hWPX7Lkd3</t>
    </r>
    <r>
      <rPr/>
      <t xml:space="preserve"> </t>
    </r>
  </si>
  <si>
    <t>https://drive.google.com/file/d/1jWiKmmP5OsIfJXnC0jrqtP-wPxYzsYuB/view?usp=drive_link</t>
  </si>
  <si>
    <t>Kalau untuk Felix nanti makesure titlenya
Masters of The Universe pake “s” 
Dan diseragamin aja kalo engga aja sudah tayang dari tanggal 3 Juni
ga usah pegang pedang karena pedangnya berbeda, jadi diubah sedikit storylinenya Aliy Kurnia</t>
  </si>
  <si>
    <t>https://docs.google.com/document/d/1QMPFS10gw1br6zC08ly9SYk8u7g-4KoTrHihDPpaNjU/edit?tab=t.0</t>
  </si>
  <si>
    <t>https://drive.google.com/file/d/1ZksEuOf6DOzXdDVNhqjNx_5pLBjFnBEK/view?usp=drive_link</t>
  </si>
  <si>
    <t>cewenya bilang felix mau nonton day 1 kan? Tp ini udah bukan day 1 kalo dia posting, agak aneh ga ya? Kaya mendingan ganti ajakan nonton segera sebelum abis dimana2 misal gitu ya dirapiin lg bahasanya</t>
  </si>
  <si>
    <t>https://drive.google.com/file/d/1sQ0y7FcgaC3T2Y_M6eiVI7EOhphfFN1z/view?usp=drive_link</t>
  </si>
  <si>
    <t>Caption:
gw yang suka He-Man, dia yang beliin ticket nonton Masters of The Universe 🥺</t>
  </si>
  <si>
    <t>https://www.tiktok.com/@felvel817/video/7649748855457713415?_r=1&amp;_t=ZS-94hWPX7Lkd3</t>
  </si>
  <si>
    <r>
      <rPr>
        <color rgb="FF1155CC"/>
        <u/>
      </rPr>
      <t>https://www.tiktok.com/@winnerizky</t>
    </r>
    <r>
      <rPr/>
      <t xml:space="preserve"> </t>
    </r>
  </si>
  <si>
    <t>https://docs.google.com/document/d/1HamV4qjialfvBejfj3adZ-EbgDpxt1lh/edit?usp=drive_link&amp;ouid=114816509662908903090&amp;rtpof=true&amp;sd=true</t>
  </si>
  <si>
    <t>Winner paling CTA nya ya ganti sudah tayang aja, krn udah tgl 3. Sama dia mau ga nonton dulu aja? Siapa tau bs mau ada yg ditambah2 lagi nanti storyline nya, soalnyaa dia reviewerkann Aliy Kurnia</t>
  </si>
  <si>
    <t>https://docs.google.com/document/d/1G2sfWBrWNQsLPh5WNCqbyaXnuzVuHP4h/edit?usp=sharing&amp;ouid=114816509662908903090&amp;rtpof=true&amp;sd=true</t>
  </si>
  <si>
    <t>https://drive.google.com/file/d/1kAqVYR4UK9lVWwKCbdI9J81SyEnXdYCX/view?usp=drive_link</t>
  </si>
  <si>
    <t>he-man bukan himen, masters pake s</t>
  </si>
  <si>
    <t>https://drive.google.com/file/d/1vWYMauthyiwoifwN2j1T3_KbBKLmI8Zq/view?usp=drive_link</t>
  </si>
  <si>
    <t>HE-MAN IS BACK!! Dengan Visual Eternia yang lebih megah, aksi epik, dan bikin nostalgia! Gas nonton bareng temen atau keluarga!! #mastersoftheuniverse #heman #rekomendasifilm</t>
  </si>
  <si>
    <t>https://www.tiktok.com/@winnerizky/video/7649242313155300628</t>
  </si>
  <si>
    <r>
      <rPr>
        <color rgb="FF1155CC"/>
        <u/>
      </rPr>
      <t>www.tiktok.com/@lindafebrianaaa</t>
    </r>
    <r>
      <rPr/>
      <t xml:space="preserve"> </t>
    </r>
  </si>
  <si>
    <t>https://drive.google.com/file/d/1-sdO-WNTopkHj1UKra9fjD9X4UtCDw5N/view?usp=drive_link</t>
  </si>
  <si>
    <t>https://drive.google.com/file/d/138-AhwjswTOUNqewcWFLca5fxbyQZHnX/view?usp=drive_link</t>
  </si>
  <si>
    <t>Sering gak sih ngerasa kalau kekuatan itu dinilai dari apa yang kelihatan dari luar aja? Jabatan, uang, atau penampilan? Padahal, penampilan luar itu bisa menipu, tapi apa yang ada di dalam diri kita—itu yang NYATA! 🧠 ✨
Kisah perjuangan nemuin rasa percaya diri ini yang bikin film **Masters of the Universe** jadi seru dan *relate* banget buat kita jaman sekarang. Kita bakal diajak melihat perjalanan **Adam**, sang **Pangeran Eternia**, dari manusia biasa sampai dia menemukan *magical sword* yard menyadari kekuatan besar di dalam dirinya untuk menjadi **He-Man**, manusia terkuat di alam semesta! ⚔️💥 
Gak cuma penuh aksi dan petualangan epik melawan musuh bebuyutannya, **Skeletor**, film ini juga dikemas super *fun* dan bisa dinikmati sama siapa aja, bahkan buat kamu yang belum pernah tahu ceritanya sama sekali! Ini beneran definisi "He-Man untuk generasi sekarang" yang wajib ditonton. 
Gak usah ragu lagi, yuk langsung ajak temen-temen kamu buat menyaksikan **Masters of the Universe** di bioskop terdekat! 🎬🍿 #MastersOfTheUniverse #HeMan #RekomendasiFilm #FilmAction #NontonDiBioskop</t>
  </si>
  <si>
    <t>https://www.tiktok.com/@lindafebrianaaa/video/7648961475654044935</t>
  </si>
  <si>
    <t>https://www.tiktok.com/@om.brewwwww</t>
  </si>
  <si>
    <t>https://docs.google.com/document/d/1HOJFHjobtZsG0hygHIcC-v4C4TKOjhqkZ-vMM0gMnWc/edit?tab=t.0</t>
  </si>
  <si>
    <t>https://drive.google.com/file/d/1PyW50MXsfi51PxCeWz2jBfIRMrUPhSJx/view?usp=drive_link</t>
  </si>
  <si>
    <t>Sebelum ada film film superhero modern, ini nih yang duluan muncul MASTER OF THE UNIVERSE. Petualangan He-Man yang bikin kita nostalgia! 🎥⚔️
 #HeMan #MasterOfTheUniverse #skeletor #bahastontonan #rekomendasifilm</t>
  </si>
  <si>
    <t>https://www.tiktok.com/@om.brewwwww/video/7648986140938095892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</si>
</sst>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Rp]#,##0"/>
    <numFmt numFmtId="165" formatCode="#,##0_);[Red](#,##0)"/>
    <numFmt numFmtId="166" formatCode="d mmm yyyy"/>
  </numFmts>
  <fonts count="29">
    <font>
      <sz val="10.0"/>
      <color rgb="FF000000"/>
      <name val="Arial"/>
      <scheme val="minor"/>
    </font>
    <font>
      <b/>
      <sz val="15.0"/>
      <color rgb="FFFFFF00"/>
      <name val="Arial"/>
    </font>
    <font>
      <b/>
      <color rgb="FFFFFFFF"/>
      <name val="Arial"/>
    </font>
    <font/>
    <font>
      <color theme="1"/>
      <name val="Arial"/>
    </font>
    <font>
      <u/>
      <color rgb="FF1155CC"/>
      <name val="Arial"/>
    </font>
    <font>
      <color rgb="FF000000"/>
      <name val="Arial"/>
    </font>
    <font>
      <color theme="1"/>
      <name val="Arial"/>
      <scheme val="minor"/>
    </font>
    <font>
      <u/>
      <color rgb="FF0000FF"/>
      <name val="Arial"/>
    </font>
    <font>
      <u/>
      <color rgb="FF1155CC"/>
      <name val="Arial"/>
    </font>
    <font>
      <u/>
      <color rgb="FF1155CC"/>
      <name val="Arial"/>
    </font>
    <font>
      <u/>
      <color rgb="FF1155CC"/>
      <name val="Arial"/>
    </font>
    <font>
      <u/>
      <color rgb="FF1155CC"/>
      <name val="Arial"/>
    </font>
    <font>
      <u/>
      <sz val="11.0"/>
      <color rgb="FF1155CC"/>
      <name val="Proxima Nova"/>
    </font>
    <font>
      <sz val="11.0"/>
      <color theme="1"/>
      <name val="Proxima Nova"/>
    </font>
    <font>
      <u/>
      <sz val="9.0"/>
      <color rgb="FF1155CC"/>
      <name val="Plus Jakarta Sans"/>
    </font>
    <font>
      <sz val="9.0"/>
      <color theme="1"/>
      <name val="Plus Jakarta Sans"/>
    </font>
    <font>
      <u/>
      <color rgb="FF1155CC"/>
      <name val="Arial"/>
    </font>
    <font>
      <b/>
      <color theme="1"/>
      <name val="Arial"/>
    </font>
    <font>
      <b/>
      <color theme="1"/>
      <name val="Proxima Nova"/>
    </font>
    <font>
      <b/>
      <sz val="12.0"/>
      <color rgb="FFCDFF2C"/>
      <name val="Proxima Nova"/>
    </font>
    <font>
      <b/>
      <color rgb="FFCDFF2C"/>
      <name val="Proxima Nova"/>
    </font>
    <font>
      <u/>
      <color rgb="FF0000FF"/>
    </font>
    <font>
      <u/>
      <color rgb="FF1155CC"/>
      <name val="Arial"/>
    </font>
    <font>
      <u/>
      <color rgb="FF1155CC"/>
      <name val="Arial"/>
    </font>
    <font>
      <u/>
      <color rgb="FF0000FF"/>
      <name val="Arial"/>
    </font>
    <font>
      <u/>
      <color rgb="FF1155CC"/>
      <name val="Arial"/>
    </font>
    <font>
      <u/>
      <color theme="1"/>
      <name val="Arial"/>
    </font>
    <font>
      <u/>
      <color rgb="FF0000FF"/>
      <name val="Arial"/>
    </font>
  </fonts>
  <fills count="7">
    <fill>
      <patternFill patternType="none"/>
    </fill>
    <fill>
      <patternFill patternType="lightGray"/>
    </fill>
    <fill>
      <patternFill patternType="solid">
        <fgColor rgb="FF351C75"/>
        <bgColor rgb="FF351C75"/>
      </patternFill>
    </fill>
    <fill>
      <patternFill patternType="solid">
        <fgColor rgb="FF8E7CC3"/>
        <bgColor rgb="FF8E7CC3"/>
      </patternFill>
    </fill>
    <fill>
      <patternFill patternType="solid">
        <fgColor rgb="FFFFFFFF"/>
        <bgColor rgb="FFFFFFFF"/>
      </patternFill>
    </fill>
    <fill>
      <patternFill patternType="solid">
        <fgColor theme="5"/>
        <bgColor theme="5"/>
      </patternFill>
    </fill>
    <fill>
      <patternFill patternType="solid">
        <fgColor rgb="FFFFFF00"/>
        <bgColor rgb="FFFFFF00"/>
      </patternFill>
    </fill>
  </fills>
  <borders count="22">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tted">
        <color rgb="FF000000"/>
      </left>
      <right style="dotted">
        <color rgb="FF000000"/>
      </right>
      <top style="dotted">
        <color rgb="FF000000"/>
      </top>
    </border>
    <border>
      <left style="dotted">
        <color rgb="FF000000"/>
      </left>
      <top style="dotted">
        <color rgb="FF000000"/>
      </top>
    </border>
    <border>
      <top style="dotted">
        <color rgb="FF000000"/>
      </top>
    </border>
    <border>
      <right style="dotted">
        <color rgb="FF000000"/>
      </right>
      <top style="dotted">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1" numFmtId="0" xfId="0" applyAlignment="1" applyBorder="1" applyFont="1">
      <alignment horizontal="left" readingOrder="0" vertical="center"/>
    </xf>
    <xf borderId="1" fillId="2" fontId="1" numFmtId="0" xfId="0" applyAlignment="1" applyBorder="1" applyFont="1">
      <alignment horizontal="left" readingOrder="0" shrinkToFit="0" vertical="center" wrapText="1"/>
    </xf>
    <xf borderId="1" fillId="2" fontId="1" numFmtId="0" xfId="0" applyAlignment="1" applyBorder="1" applyFont="1">
      <alignment horizontal="center" readingOrder="0" shrinkToFit="0" vertical="center" wrapText="1"/>
    </xf>
    <xf borderId="2" fillId="3" fontId="2" numFmtId="0" xfId="0" applyAlignment="1" applyBorder="1" applyFill="1" applyFont="1">
      <alignment horizontal="center" vertical="center"/>
    </xf>
    <xf borderId="2" fillId="3" fontId="2" numFmtId="3" xfId="0" applyAlignment="1" applyBorder="1" applyFont="1" applyNumberFormat="1">
      <alignment horizontal="center" readingOrder="0" vertical="center"/>
    </xf>
    <xf borderId="2" fillId="3" fontId="2" numFmtId="0" xfId="0" applyAlignment="1" applyBorder="1" applyFont="1">
      <alignment horizontal="center" shrinkToFit="0" vertical="center" wrapText="1"/>
    </xf>
    <xf borderId="2" fillId="3" fontId="2" numFmtId="3" xfId="0" applyAlignment="1" applyBorder="1" applyFont="1" applyNumberFormat="1">
      <alignment horizontal="center" vertical="center"/>
    </xf>
    <xf borderId="2" fillId="3" fontId="2" numFmtId="3" xfId="0" applyAlignment="1" applyBorder="1" applyFont="1" applyNumberFormat="1">
      <alignment horizontal="center" shrinkToFit="0" vertical="center" wrapText="1"/>
    </xf>
    <xf borderId="2" fillId="3" fontId="2" numFmtId="10" xfId="0" applyAlignment="1" applyBorder="1" applyFont="1" applyNumberFormat="1">
      <alignment horizontal="center" vertical="center"/>
    </xf>
    <xf borderId="3" fillId="3" fontId="2" numFmtId="0" xfId="0" applyAlignment="1" applyBorder="1" applyFont="1">
      <alignment horizontal="center" vertical="center"/>
    </xf>
    <xf borderId="4" fillId="0" fontId="3" numFmtId="0" xfId="0" applyBorder="1" applyFont="1"/>
    <xf borderId="5" fillId="0" fontId="3" numFmtId="0" xfId="0" applyBorder="1" applyFont="1"/>
    <xf borderId="2" fillId="3" fontId="2" numFmtId="0" xfId="0" applyAlignment="1" applyBorder="1" applyFont="1">
      <alignment horizontal="center" readingOrder="0" shrinkToFit="0" vertical="center" wrapText="1"/>
    </xf>
    <xf borderId="6" fillId="0" fontId="3" numFmtId="0" xfId="0" applyBorder="1" applyFont="1"/>
    <xf borderId="1" fillId="3" fontId="2" numFmtId="0" xfId="0" applyAlignment="1" applyBorder="1" applyFont="1">
      <alignment horizontal="center" readingOrder="0" vertical="center"/>
    </xf>
    <xf borderId="1" fillId="3" fontId="2" numFmtId="0" xfId="0" applyAlignment="1" applyBorder="1" applyFont="1">
      <alignment horizontal="center" vertical="center"/>
    </xf>
    <xf borderId="1" fillId="3" fontId="2" numFmtId="0" xfId="0" applyAlignment="1" applyBorder="1" applyFont="1">
      <alignment horizontal="center" shrinkToFit="0" vertical="center" wrapText="1"/>
    </xf>
    <xf borderId="2" fillId="0" fontId="4" numFmtId="0" xfId="0" applyAlignment="1" applyBorder="1" applyFont="1">
      <alignment horizontal="center" readingOrder="0" vertical="center"/>
    </xf>
    <xf borderId="2" fillId="0" fontId="4" numFmtId="164" xfId="0" applyAlignment="1" applyBorder="1" applyFont="1" applyNumberFormat="1">
      <alignment horizontal="left" readingOrder="0" shrinkToFit="0" vertical="center" wrapText="1"/>
    </xf>
    <xf borderId="2" fillId="0" fontId="4" numFmtId="0" xfId="0" applyAlignment="1" applyBorder="1" applyFont="1">
      <alignment horizontal="left" readingOrder="0" vertical="center"/>
    </xf>
    <xf borderId="2" fillId="0" fontId="5" numFmtId="0" xfId="0" applyAlignment="1" applyBorder="1" applyFont="1">
      <alignment horizontal="left" shrinkToFit="0" vertical="center" wrapText="1"/>
    </xf>
    <xf borderId="2" fillId="0" fontId="4" numFmtId="3" xfId="0" applyAlignment="1" applyBorder="1" applyFont="1" applyNumberFormat="1">
      <alignment horizontal="center" readingOrder="0" shrinkToFit="0" vertical="center" wrapText="1"/>
    </xf>
    <xf borderId="2" fillId="0" fontId="4" numFmtId="3" xfId="0" applyAlignment="1" applyBorder="1" applyFont="1" applyNumberFormat="1">
      <alignment horizontal="center" readingOrder="0" vertical="center"/>
    </xf>
    <xf borderId="2" fillId="0" fontId="4" numFmtId="3" xfId="0" applyAlignment="1" applyBorder="1" applyFont="1" applyNumberFormat="1">
      <alignment horizontal="center" vertical="center"/>
    </xf>
    <xf borderId="2" fillId="0" fontId="4" numFmtId="10" xfId="0" applyAlignment="1" applyBorder="1" applyFont="1" applyNumberFormat="1">
      <alignment horizontal="center" vertical="center"/>
    </xf>
    <xf borderId="2" fillId="0" fontId="4" numFmtId="165" xfId="0" applyAlignment="1" applyBorder="1" applyFont="1" applyNumberFormat="1">
      <alignment horizontal="center" vertical="center"/>
    </xf>
    <xf borderId="2" fillId="4" fontId="4" numFmtId="165" xfId="0" applyAlignment="1" applyBorder="1" applyFill="1" applyFont="1" applyNumberFormat="1">
      <alignment horizontal="left" readingOrder="0" shrinkToFit="0" vertical="center" wrapText="1"/>
    </xf>
    <xf borderId="1" fillId="4" fontId="4" numFmtId="3" xfId="0" applyAlignment="1" applyBorder="1" applyFont="1" applyNumberFormat="1">
      <alignment horizontal="center" readingOrder="0" vertical="center"/>
    </xf>
    <xf borderId="1" fillId="4" fontId="4" numFmtId="3" xfId="0" applyAlignment="1" applyBorder="1" applyFont="1" applyNumberFormat="1">
      <alignment horizontal="center" readingOrder="0" shrinkToFit="0" vertical="center" wrapText="1"/>
    </xf>
    <xf borderId="7" fillId="0" fontId="3" numFmtId="0" xfId="0" applyBorder="1" applyFont="1"/>
    <xf borderId="1" fillId="0" fontId="4" numFmtId="3" xfId="0" applyAlignment="1" applyBorder="1" applyFont="1" applyNumberFormat="1">
      <alignment horizontal="center" shrinkToFit="0" vertical="center" wrapText="1"/>
    </xf>
    <xf borderId="1" fillId="0" fontId="4" numFmtId="3" xfId="0" applyAlignment="1" applyBorder="1" applyFont="1" applyNumberFormat="1">
      <alignment horizontal="center" readingOrder="0" vertical="center"/>
    </xf>
    <xf borderId="6" fillId="0" fontId="4" numFmtId="3" xfId="0" applyAlignment="1" applyBorder="1" applyFont="1" applyNumberFormat="1">
      <alignment horizontal="center" readingOrder="0" vertical="center"/>
    </xf>
    <xf borderId="2" fillId="0" fontId="4" numFmtId="3" xfId="0" applyAlignment="1" applyBorder="1" applyFont="1" applyNumberFormat="1">
      <alignment horizontal="center" shrinkToFit="0" vertical="center" wrapText="1"/>
    </xf>
    <xf borderId="1" fillId="0" fontId="4" numFmtId="3" xfId="0" applyAlignment="1" applyBorder="1" applyFont="1" applyNumberFormat="1">
      <alignment horizontal="center" readingOrder="0" shrinkToFit="0" vertical="center" wrapText="1"/>
    </xf>
    <xf borderId="1" fillId="4" fontId="4" numFmtId="3" xfId="0" applyAlignment="1" applyBorder="1" applyFont="1" applyNumberFormat="1">
      <alignment horizontal="center" vertical="center"/>
    </xf>
    <xf borderId="1" fillId="4" fontId="4" numFmtId="3" xfId="0" applyAlignment="1" applyBorder="1" applyFont="1" applyNumberFormat="1">
      <alignment horizontal="center" shrinkToFit="0" vertical="center" wrapText="1"/>
    </xf>
    <xf borderId="1" fillId="0" fontId="4" numFmtId="3" xfId="0" applyAlignment="1" applyBorder="1" applyFont="1" applyNumberFormat="1">
      <alignment horizontal="center" vertical="center"/>
    </xf>
    <xf borderId="1" fillId="4" fontId="6" numFmtId="3" xfId="0" applyAlignment="1" applyBorder="1" applyFont="1" applyNumberFormat="1">
      <alignment horizontal="center" readingOrder="0" vertical="center"/>
    </xf>
    <xf borderId="2" fillId="0" fontId="7" numFmtId="0" xfId="0" applyAlignment="1" applyBorder="1" applyFont="1">
      <alignment horizontal="center" vertical="center"/>
    </xf>
    <xf borderId="2" fillId="0" fontId="8" numFmtId="0" xfId="0" applyAlignment="1" applyBorder="1" applyFont="1">
      <alignment horizontal="left" readingOrder="0" shrinkToFit="0" vertical="center" wrapText="1"/>
    </xf>
    <xf borderId="2" fillId="0" fontId="9" numFmtId="0" xfId="0" applyAlignment="1" applyBorder="1" applyFont="1">
      <alignment horizontal="left" shrinkToFit="0" vertical="center" wrapText="1"/>
    </xf>
    <xf borderId="1" fillId="0" fontId="7" numFmtId="0" xfId="0" applyAlignment="1" applyBorder="1" applyFont="1">
      <alignment horizontal="center" vertical="center"/>
    </xf>
    <xf borderId="1" fillId="0" fontId="7" numFmtId="0" xfId="0" applyAlignment="1" applyBorder="1" applyFont="1">
      <alignment horizontal="center" shrinkToFit="0" vertical="center" wrapText="1"/>
    </xf>
    <xf borderId="2" fillId="0" fontId="7" numFmtId="0" xfId="0" applyAlignment="1" applyBorder="1" applyFont="1">
      <alignment horizontal="center" readingOrder="0" vertical="center"/>
    </xf>
    <xf borderId="2" fillId="0" fontId="4" numFmtId="0" xfId="0" applyAlignment="1" applyBorder="1" applyFont="1">
      <alignment horizontal="left" vertical="center"/>
    </xf>
    <xf borderId="1" fillId="0" fontId="4" numFmtId="3" xfId="0" applyAlignment="1" applyBorder="1" applyFont="1" applyNumberFormat="1">
      <alignment horizontal="center" shrinkToFit="0" wrapText="1"/>
    </xf>
    <xf borderId="1" fillId="0" fontId="4" numFmtId="3" xfId="0" applyAlignment="1" applyBorder="1" applyFont="1" applyNumberFormat="1">
      <alignment horizontal="center" readingOrder="0" shrinkToFit="0" wrapText="1"/>
    </xf>
    <xf borderId="2" fillId="0" fontId="4" numFmtId="0" xfId="0" applyAlignment="1" applyBorder="1" applyFont="1">
      <alignment vertical="center"/>
    </xf>
    <xf borderId="2" fillId="0" fontId="10" numFmtId="3" xfId="0" applyAlignment="1" applyBorder="1" applyFont="1" applyNumberFormat="1">
      <alignment vertical="center"/>
    </xf>
    <xf borderId="2" fillId="0" fontId="11" numFmtId="3" xfId="0" applyAlignment="1" applyBorder="1" applyFont="1" applyNumberFormat="1">
      <alignment horizontal="center" vertical="center"/>
    </xf>
    <xf borderId="1" fillId="0" fontId="4" numFmtId="3" xfId="0" applyAlignment="1" applyBorder="1" applyFont="1" applyNumberFormat="1">
      <alignment readingOrder="0" vertical="center"/>
    </xf>
    <xf borderId="2" fillId="0" fontId="12" numFmtId="0" xfId="0" applyAlignment="1" applyBorder="1" applyFont="1">
      <alignment vertical="center"/>
    </xf>
    <xf borderId="2" fillId="0" fontId="13" numFmtId="0" xfId="0" applyAlignment="1" applyBorder="1" applyFont="1">
      <alignment horizontal="center" vertical="center"/>
    </xf>
    <xf borderId="2" fillId="0" fontId="14" numFmtId="3" xfId="0" applyAlignment="1" applyBorder="1" applyFont="1" applyNumberFormat="1">
      <alignment horizontal="center" vertical="center"/>
    </xf>
    <xf borderId="2" fillId="0" fontId="15" numFmtId="3" xfId="0" applyAlignment="1" applyBorder="1" applyFont="1" applyNumberFormat="1">
      <alignment vertical="center"/>
    </xf>
    <xf borderId="2" fillId="0" fontId="16" numFmtId="3" xfId="0" applyAlignment="1" applyBorder="1" applyFont="1" applyNumberFormat="1">
      <alignment horizontal="center" vertical="center"/>
    </xf>
    <xf borderId="0" fillId="0" fontId="7" numFmtId="0" xfId="0" applyAlignment="1" applyFont="1">
      <alignment horizontal="center" vertical="center"/>
    </xf>
    <xf borderId="0" fillId="0" fontId="7" numFmtId="0" xfId="0" applyAlignment="1" applyFont="1">
      <alignment horizontal="left" vertical="center"/>
    </xf>
    <xf borderId="0" fillId="0" fontId="7" numFmtId="0" xfId="0" applyAlignment="1" applyFont="1">
      <alignment horizontal="left" shrinkToFit="0" vertical="center" wrapText="1"/>
    </xf>
    <xf borderId="0" fillId="0" fontId="7" numFmtId="0" xfId="0" applyAlignment="1" applyFont="1">
      <alignment horizontal="center" shrinkToFit="0" vertical="center" wrapText="1"/>
    </xf>
    <xf borderId="2" fillId="5" fontId="4" numFmtId="0" xfId="0" applyAlignment="1" applyBorder="1" applyFill="1" applyFont="1">
      <alignment horizontal="left" readingOrder="0" vertical="center"/>
    </xf>
    <xf borderId="2" fillId="5" fontId="17" numFmtId="0" xfId="0" applyAlignment="1" applyBorder="1" applyFont="1">
      <alignment horizontal="left" shrinkToFit="0" vertical="center" wrapText="1"/>
    </xf>
    <xf borderId="2" fillId="5" fontId="4" numFmtId="3" xfId="0" applyAlignment="1" applyBorder="1" applyFont="1" applyNumberFormat="1">
      <alignment horizontal="center" readingOrder="0" shrinkToFit="0" vertical="center" wrapText="1"/>
    </xf>
    <xf borderId="2" fillId="5" fontId="4" numFmtId="3" xfId="0" applyAlignment="1" applyBorder="1" applyFont="1" applyNumberFormat="1">
      <alignment horizontal="center" readingOrder="0" vertical="center"/>
    </xf>
    <xf borderId="2" fillId="5" fontId="4" numFmtId="3" xfId="0" applyAlignment="1" applyBorder="1" applyFont="1" applyNumberFormat="1">
      <alignment horizontal="center" vertical="center"/>
    </xf>
    <xf borderId="2" fillId="5" fontId="4" numFmtId="10" xfId="0" applyAlignment="1" applyBorder="1" applyFont="1" applyNumberFormat="1">
      <alignment horizontal="center" vertical="center"/>
    </xf>
    <xf borderId="2" fillId="5" fontId="4" numFmtId="165" xfId="0" applyAlignment="1" applyBorder="1" applyFont="1" applyNumberFormat="1">
      <alignment horizontal="center" vertical="center"/>
    </xf>
    <xf borderId="1" fillId="5" fontId="4" numFmtId="3" xfId="0" applyAlignment="1" applyBorder="1" applyFont="1" applyNumberFormat="1">
      <alignment horizontal="center" readingOrder="0" vertical="center"/>
    </xf>
    <xf borderId="1" fillId="5" fontId="4" numFmtId="3" xfId="0" applyAlignment="1" applyBorder="1" applyFont="1" applyNumberFormat="1">
      <alignment horizontal="center" readingOrder="0" shrinkToFit="0" vertical="center" wrapText="1"/>
    </xf>
    <xf borderId="1" fillId="5" fontId="4" numFmtId="3" xfId="0" applyAlignment="1" applyBorder="1" applyFont="1" applyNumberFormat="1">
      <alignment horizontal="center" shrinkToFit="0" vertical="center" wrapText="1"/>
    </xf>
    <xf borderId="1" fillId="0" fontId="7" numFmtId="0" xfId="0" applyAlignment="1" applyBorder="1" applyFont="1">
      <alignment horizontal="center" readingOrder="0" shrinkToFit="0" vertical="center" wrapText="1"/>
    </xf>
    <xf borderId="1" fillId="0" fontId="18" numFmtId="0" xfId="0" applyAlignment="1" applyBorder="1" applyFont="1">
      <alignment horizontal="right"/>
    </xf>
    <xf borderId="1" fillId="0" fontId="18" numFmtId="3" xfId="0" applyAlignment="1" applyBorder="1" applyFont="1" applyNumberFormat="1">
      <alignment horizontal="right"/>
    </xf>
    <xf borderId="0" fillId="0" fontId="7" numFmtId="0" xfId="0" applyAlignment="1" applyFont="1">
      <alignment horizontal="center" readingOrder="0" shrinkToFit="0" vertical="center" wrapText="1"/>
    </xf>
    <xf borderId="0" fillId="0" fontId="4" numFmtId="0" xfId="0" applyFont="1"/>
    <xf borderId="8" fillId="0" fontId="19" numFmtId="0" xfId="0" applyAlignment="1" applyBorder="1" applyFont="1">
      <alignment shrinkToFit="0" wrapText="1"/>
    </xf>
    <xf borderId="9" fillId="0" fontId="19" numFmtId="0" xfId="0" applyAlignment="1" applyBorder="1" applyFont="1">
      <alignment horizontal="center" readingOrder="0" shrinkToFit="0" wrapText="1"/>
    </xf>
    <xf borderId="10" fillId="0" fontId="3" numFmtId="0" xfId="0" applyBorder="1" applyFont="1"/>
    <xf borderId="11" fillId="0" fontId="19" numFmtId="0" xfId="0" applyAlignment="1" applyBorder="1" applyFont="1">
      <alignment horizontal="center" readingOrder="0" shrinkToFit="0" wrapText="1"/>
    </xf>
    <xf borderId="8" fillId="0" fontId="4" numFmtId="0" xfId="0" applyBorder="1" applyFont="1"/>
    <xf borderId="9" fillId="0" fontId="4" numFmtId="0" xfId="0" applyBorder="1" applyFont="1"/>
    <xf borderId="11" fillId="0" fontId="3" numFmtId="0" xfId="0" applyBorder="1" applyFont="1"/>
    <xf borderId="12" fillId="0" fontId="19" numFmtId="0" xfId="0" applyAlignment="1" applyBorder="1" applyFont="1">
      <alignment shrinkToFit="0" wrapText="1"/>
    </xf>
    <xf borderId="13" fillId="0" fontId="4" numFmtId="0" xfId="0" applyBorder="1" applyFont="1"/>
    <xf borderId="14" fillId="0" fontId="3" numFmtId="0" xfId="0" applyBorder="1" applyFont="1"/>
    <xf borderId="15" fillId="0" fontId="4" numFmtId="0" xfId="0" applyBorder="1" applyFont="1"/>
    <xf borderId="12" fillId="0" fontId="4" numFmtId="0" xfId="0" applyBorder="1" applyFont="1"/>
    <xf borderId="15" fillId="0" fontId="3" numFmtId="0" xfId="0" applyBorder="1" applyFont="1"/>
    <xf borderId="16" fillId="2" fontId="20" numFmtId="0" xfId="0" applyAlignment="1" applyBorder="1" applyFont="1">
      <alignment horizontal="center" readingOrder="0"/>
    </xf>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0" fillId="0" fontId="4" numFmtId="0" xfId="0" applyAlignment="1" applyFont="1">
      <alignment vertical="center"/>
    </xf>
    <xf borderId="1" fillId="2" fontId="21" numFmtId="0" xfId="0" applyAlignment="1" applyBorder="1" applyFont="1">
      <alignment horizontal="center" vertical="center"/>
    </xf>
    <xf borderId="2" fillId="2" fontId="21" numFmtId="0" xfId="0" applyAlignment="1" applyBorder="1" applyFont="1">
      <alignment horizontal="center" vertical="center"/>
    </xf>
    <xf borderId="1" fillId="2" fontId="21" numFmtId="0" xfId="0" applyAlignment="1" applyBorder="1" applyFont="1">
      <alignment horizontal="center" readingOrder="0" vertical="center"/>
    </xf>
    <xf borderId="1" fillId="2" fontId="21" numFmtId="0" xfId="0" applyAlignment="1" applyBorder="1" applyFont="1">
      <alignment horizontal="center" readingOrder="0" shrinkToFit="0" vertical="center" wrapText="1"/>
    </xf>
    <xf borderId="1" fillId="2" fontId="21" numFmtId="0" xfId="0" applyAlignment="1" applyBorder="1" applyFont="1">
      <alignment horizontal="center" shrinkToFit="0" vertical="center" wrapText="0"/>
    </xf>
    <xf borderId="2" fillId="2" fontId="21" numFmtId="0" xfId="0" applyAlignment="1" applyBorder="1" applyFont="1">
      <alignment horizontal="center" readingOrder="0" vertical="center"/>
    </xf>
    <xf borderId="1" fillId="2" fontId="21" numFmtId="0" xfId="0" applyAlignment="1" applyBorder="1" applyFont="1">
      <alignment horizontal="center" shrinkToFit="0" vertical="center" wrapText="1"/>
    </xf>
    <xf borderId="2" fillId="2" fontId="21" numFmtId="0" xfId="0" applyAlignment="1" applyBorder="1" applyFont="1">
      <alignment horizontal="center" shrinkToFit="0" vertical="center" wrapText="0"/>
    </xf>
    <xf borderId="0" fillId="0" fontId="7" numFmtId="0" xfId="0" applyAlignment="1" applyFont="1">
      <alignment vertical="center"/>
    </xf>
    <xf borderId="8" fillId="0" fontId="4" numFmtId="0" xfId="0" applyAlignment="1" applyBorder="1" applyFont="1">
      <alignment horizontal="center" shrinkToFit="0" vertical="center" wrapText="1"/>
    </xf>
    <xf borderId="8" fillId="0" fontId="4" numFmtId="0" xfId="0" applyAlignment="1" applyBorder="1" applyFont="1">
      <alignment readingOrder="0" shrinkToFit="0" vertical="center" wrapText="1"/>
    </xf>
    <xf borderId="0" fillId="0" fontId="22" numFmtId="0" xfId="0" applyAlignment="1" applyFont="1">
      <alignment readingOrder="0" shrinkToFit="0" vertical="center" wrapText="1"/>
    </xf>
    <xf borderId="8" fillId="0" fontId="23" numFmtId="0" xfId="0" applyAlignment="1" applyBorder="1" applyFont="1">
      <alignment readingOrder="0" shrinkToFit="0" vertical="center" wrapText="1"/>
    </xf>
    <xf borderId="8" fillId="0" fontId="4" numFmtId="0" xfId="0" applyAlignment="1" applyBorder="1" applyFont="1">
      <alignment shrinkToFit="0" vertical="center" wrapText="1"/>
    </xf>
    <xf borderId="8" fillId="0" fontId="24" numFmtId="0" xfId="0" applyAlignment="1" applyBorder="1" applyFont="1">
      <alignment shrinkToFit="0" vertical="center" wrapText="1"/>
    </xf>
    <xf borderId="8" fillId="0" fontId="25" numFmtId="0" xfId="0" applyAlignment="1" applyBorder="1" applyFont="1">
      <alignment readingOrder="0" shrinkToFit="0" vertical="center" wrapText="1"/>
    </xf>
    <xf borderId="8" fillId="0" fontId="4" numFmtId="166" xfId="0" applyAlignment="1" applyBorder="1" applyFont="1" applyNumberFormat="1">
      <alignment horizontal="right" readingOrder="0" shrinkToFit="0" vertical="center" wrapText="1"/>
    </xf>
    <xf borderId="8" fillId="0" fontId="4" numFmtId="0" xfId="0" applyAlignment="1" applyBorder="1" applyFont="1">
      <alignment horizontal="center" readingOrder="0" shrinkToFit="0" vertical="center" wrapText="1"/>
    </xf>
    <xf borderId="8" fillId="0" fontId="4" numFmtId="166" xfId="0" applyAlignment="1" applyBorder="1" applyFont="1" applyNumberFormat="1">
      <alignment horizontal="right" shrinkToFit="0" vertical="center" wrapText="1"/>
    </xf>
    <xf borderId="8" fillId="0" fontId="7" numFmtId="0" xfId="0" applyAlignment="1" applyBorder="1" applyFont="1">
      <alignment readingOrder="0" shrinkToFit="0" vertical="center" wrapText="1"/>
    </xf>
    <xf borderId="8" fillId="6" fontId="26" numFmtId="0" xfId="0" applyAlignment="1" applyBorder="1" applyFill="1" applyFont="1">
      <alignment readingOrder="0" shrinkToFit="0" vertical="center" wrapText="1"/>
    </xf>
    <xf borderId="8" fillId="6" fontId="4" numFmtId="0" xfId="0" applyAlignment="1" applyBorder="1" applyFont="1">
      <alignment readingOrder="0" shrinkToFit="0" vertical="center" wrapText="1"/>
    </xf>
    <xf borderId="8" fillId="0" fontId="7" numFmtId="0" xfId="0" applyAlignment="1" applyBorder="1" applyFont="1">
      <alignment shrinkToFit="0" vertical="center" wrapText="1"/>
    </xf>
    <xf borderId="8" fillId="0" fontId="27" numFmtId="0" xfId="0" applyAlignment="1" applyBorder="1" applyFont="1">
      <alignment readingOrder="0" shrinkToFit="0" vertical="center" wrapText="1"/>
    </xf>
    <xf borderId="8" fillId="0" fontId="28" numFmtId="0" xfId="0" applyAlignment="1" applyBorder="1" applyFont="1">
      <alignment readingOrder="0" shrinkToFit="0" vertical="center" wrapText="1"/>
    </xf>
    <xf borderId="12" fillId="0" fontId="7" numFmtId="0" xfId="0" applyAlignment="1" applyBorder="1" applyFont="1">
      <alignment readingOrder="0" shrinkToFit="0" vertical="center" wrapText="1"/>
    </xf>
    <xf borderId="8" fillId="0" fontId="4" numFmtId="0" xfId="0" applyAlignment="1" applyBorder="1" applyFont="1">
      <alignment readingOrder="0" shrinkToFit="0" vertical="center" wrapText="0"/>
    </xf>
    <xf borderId="8" fillId="0" fontId="4" numFmtId="0" xfId="0" applyAlignment="1" applyBorder="1" applyFont="1">
      <alignment horizontal="left" readingOrder="0" vertical="center"/>
    </xf>
    <xf borderId="11" fillId="0" fontId="4" numFmtId="0" xfId="0" applyAlignment="1" applyBorder="1" applyFont="1">
      <alignment readingOrder="0" shrinkToFit="0" vertical="center" wrapText="1"/>
    </xf>
    <xf borderId="0" fillId="0" fontId="4" numFmtId="0" xfId="0" applyAlignment="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tiktok.com/@khoyrunnisabudiasih14?_r=1&amp;_t=ZS-9572p1t0RyH" TargetMode="External"/><Relationship Id="rId22" Type="http://schemas.openxmlformats.org/officeDocument/2006/relationships/hyperlink" Target="https://www.tiktok.com/@felvel817?_r=1&amp;_t=ZS-94hWPX7Lkd3" TargetMode="External"/><Relationship Id="rId21" Type="http://schemas.openxmlformats.org/officeDocument/2006/relationships/hyperlink" Target="https://www.tiktok.com/@yrkartoyo?_r=1&amp;_t=ZS-9572hbLxkiT" TargetMode="External"/><Relationship Id="rId24" Type="http://schemas.openxmlformats.org/officeDocument/2006/relationships/hyperlink" Target="https://www.tiktok.com/@mr.coyk?_r=1&amp;_t=ZS-94kwVtXjR4f" TargetMode="External"/><Relationship Id="rId23" Type="http://schemas.openxmlformats.org/officeDocument/2006/relationships/hyperlink" Target="https://www.tiktok.com/@josephinethaliaa?_r=1&amp;_t=ZS-94hT6sNxs5l" TargetMode="External"/><Relationship Id="rId1" Type="http://schemas.openxmlformats.org/officeDocument/2006/relationships/hyperlink" Target="http://www.tiktok.com/@adifi_" TargetMode="External"/><Relationship Id="rId2" Type="http://schemas.openxmlformats.org/officeDocument/2006/relationships/hyperlink" Target="http://www.tiktok.com/@ilhahoam1" TargetMode="External"/><Relationship Id="rId3" Type="http://schemas.openxmlformats.org/officeDocument/2006/relationships/hyperlink" Target="http://www.tiktok.com/@kadin5s" TargetMode="External"/><Relationship Id="rId4" Type="http://schemas.openxmlformats.org/officeDocument/2006/relationships/hyperlink" Target="https://www.tiktok.com/@winnerizky" TargetMode="External"/><Relationship Id="rId9" Type="http://schemas.openxmlformats.org/officeDocument/2006/relationships/hyperlink" Target="http://www.tiktok.com/@eonni.elma" TargetMode="External"/><Relationship Id="rId26" Type="http://schemas.openxmlformats.org/officeDocument/2006/relationships/hyperlink" Target="http://tiktok.com/@zia_knypov" TargetMode="External"/><Relationship Id="rId25" Type="http://schemas.openxmlformats.org/officeDocument/2006/relationships/hyperlink" Target="http://tiktok.com/@flyingsoumen" TargetMode="External"/><Relationship Id="rId28" Type="http://schemas.openxmlformats.org/officeDocument/2006/relationships/hyperlink" Target="http://tiktok.com/@knocksonheavensdoor" TargetMode="External"/><Relationship Id="rId27" Type="http://schemas.openxmlformats.org/officeDocument/2006/relationships/hyperlink" Target="http://tiktok.com/@enzd.yeager" TargetMode="External"/><Relationship Id="rId5" Type="http://schemas.openxmlformats.org/officeDocument/2006/relationships/hyperlink" Target="http://www.tiktok.com/@se.sireview.film" TargetMode="External"/><Relationship Id="rId6" Type="http://schemas.openxmlformats.org/officeDocument/2006/relationships/hyperlink" Target="http://www.tiktok.com/@intantan41" TargetMode="External"/><Relationship Id="rId29" Type="http://schemas.openxmlformats.org/officeDocument/2006/relationships/hyperlink" Target="https://www.tiktok.com/@joshuasteven_" TargetMode="External"/><Relationship Id="rId7" Type="http://schemas.openxmlformats.org/officeDocument/2006/relationships/hyperlink" Target="http://www.tiktok.com/@gelardino99" TargetMode="External"/><Relationship Id="rId8" Type="http://schemas.openxmlformats.org/officeDocument/2006/relationships/hyperlink" Target="http://www.tiktok.com/@bukanawit" TargetMode="External"/><Relationship Id="rId31" Type="http://schemas.openxmlformats.org/officeDocument/2006/relationships/hyperlink" Target="https://www.tiktok.com/@pemudark" TargetMode="External"/><Relationship Id="rId30" Type="http://schemas.openxmlformats.org/officeDocument/2006/relationships/hyperlink" Target="https://www.tiktok.com/@nyakweterus_" TargetMode="External"/><Relationship Id="rId11" Type="http://schemas.openxmlformats.org/officeDocument/2006/relationships/hyperlink" Target="http://www.tiktok.com/@rifkyprasodjo" TargetMode="External"/><Relationship Id="rId33" Type="http://schemas.openxmlformats.org/officeDocument/2006/relationships/hyperlink" Target="https://www.tiktok.com/@louisandfloren" TargetMode="External"/><Relationship Id="rId10" Type="http://schemas.openxmlformats.org/officeDocument/2006/relationships/hyperlink" Target="http://www.tiktok.com/@lindafebrianaaa" TargetMode="External"/><Relationship Id="rId32" Type="http://schemas.openxmlformats.org/officeDocument/2006/relationships/hyperlink" Target="https://www.tiktok.com/@freaky.tricky" TargetMode="External"/><Relationship Id="rId13" Type="http://schemas.openxmlformats.org/officeDocument/2006/relationships/hyperlink" Target="http://www.tiktok.com/@ombewokreviewer" TargetMode="External"/><Relationship Id="rId12" Type="http://schemas.openxmlformats.org/officeDocument/2006/relationships/hyperlink" Target="http://www.tiktok.com/@woodcocktv" TargetMode="External"/><Relationship Id="rId34" Type="http://schemas.openxmlformats.org/officeDocument/2006/relationships/drawing" Target="../drawings/drawing1.xml"/><Relationship Id="rId15" Type="http://schemas.openxmlformats.org/officeDocument/2006/relationships/hyperlink" Target="http://www.tiktok.com/@branovams" TargetMode="External"/><Relationship Id="rId14" Type="http://schemas.openxmlformats.org/officeDocument/2006/relationships/hyperlink" Target="http://www.tiktok.com/@ramsest00" TargetMode="External"/><Relationship Id="rId17" Type="http://schemas.openxmlformats.org/officeDocument/2006/relationships/hyperlink" Target="http://tiktok.com/@cornellaoct" TargetMode="External"/><Relationship Id="rId16" Type="http://schemas.openxmlformats.org/officeDocument/2006/relationships/hyperlink" Target="http://tiktok.com/@cornellaoct" TargetMode="External"/><Relationship Id="rId19" Type="http://schemas.openxmlformats.org/officeDocument/2006/relationships/hyperlink" Target="https://www.tiktok.com/@marucatfamily" TargetMode="External"/><Relationship Id="rId18" Type="http://schemas.openxmlformats.org/officeDocument/2006/relationships/hyperlink" Target="https://www.tiktok.com/@gallent_dav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tiktok.com/@adifi_" TargetMode="External"/><Relationship Id="rId2" Type="http://schemas.openxmlformats.org/officeDocument/2006/relationships/hyperlink" Target="http://www.tiktok.com/@kadin5s" TargetMode="External"/><Relationship Id="rId3" Type="http://schemas.openxmlformats.org/officeDocument/2006/relationships/hyperlink" Target="http://www.tiktok.com/@ramsest00" TargetMode="External"/><Relationship Id="rId4" Type="http://schemas.openxmlformats.org/officeDocument/2006/relationships/hyperlink" Target="https://www.tiktok.com/@marucatfamily" TargetMode="External"/><Relationship Id="rId9" Type="http://schemas.openxmlformats.org/officeDocument/2006/relationships/drawing" Target="../drawings/drawing2.xml"/><Relationship Id="rId5" Type="http://schemas.openxmlformats.org/officeDocument/2006/relationships/hyperlink" Target="https://www.tiktok.com/@felvel817?_r=1&amp;_t=ZS-94hWPX7Lkd3" TargetMode="External"/><Relationship Id="rId6" Type="http://schemas.openxmlformats.org/officeDocument/2006/relationships/hyperlink" Target="https://www.tiktok.com/@winnerizky" TargetMode="External"/><Relationship Id="rId7" Type="http://schemas.openxmlformats.org/officeDocument/2006/relationships/hyperlink" Target="http://www.tiktok.com/@lindafebrianaaa" TargetMode="External"/><Relationship Id="rId8" Type="http://schemas.openxmlformats.org/officeDocument/2006/relationships/hyperlink" Target="http://www.tiktok.com/@ombewokreviewer"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www.tiktok.com/@winnerizky" TargetMode="External"/><Relationship Id="rId22" Type="http://schemas.openxmlformats.org/officeDocument/2006/relationships/hyperlink" Target="mailto:aliy.kurnia@bvnetwork.net" TargetMode="External"/><Relationship Id="rId21" Type="http://schemas.openxmlformats.org/officeDocument/2006/relationships/hyperlink" Target="https://docs.google.com/document/d/1HamV4qjialfvBejfj3adZ-EbgDpxt1lh/edit?usp=drive_link&amp;ouid=114816509662908903090&amp;rtpof=true&amp;sd=true" TargetMode="External"/><Relationship Id="rId24" Type="http://schemas.openxmlformats.org/officeDocument/2006/relationships/hyperlink" Target="https://drive.google.com/file/d/1kAqVYR4UK9lVWwKCbdI9J81SyEnXdYCX/view?usp=drive_link" TargetMode="External"/><Relationship Id="rId23" Type="http://schemas.openxmlformats.org/officeDocument/2006/relationships/hyperlink" Target="https://docs.google.com/document/d/1G2sfWBrWNQsLPh5WNCqbyaXnuzVuHP4h/edit?usp=sharing&amp;ouid=114816509662908903090&amp;rtpof=true&amp;sd=true" TargetMode="External"/><Relationship Id="rId1" Type="http://schemas.openxmlformats.org/officeDocument/2006/relationships/hyperlink" Target="http://www.tiktok.com/@adifi_" TargetMode="External"/><Relationship Id="rId2" Type="http://schemas.openxmlformats.org/officeDocument/2006/relationships/hyperlink" Target="https://docs.google.com/document/d/1J9Qq86adtNVMjTzkxQtnZnSiFy_7ejQ4-cQyXaPG9_k/edit?tab=t.0" TargetMode="External"/><Relationship Id="rId3" Type="http://schemas.openxmlformats.org/officeDocument/2006/relationships/hyperlink" Target="https://drive.google.com/file/d/1nrABUmQTjMCmtZs4DR4pm0DZ2zcb7SFg/view?usp=drive_link" TargetMode="External"/><Relationship Id="rId4" Type="http://schemas.openxmlformats.org/officeDocument/2006/relationships/hyperlink" Target="https://drive.google.com/file/d/1yyEBoNmrytdiimIN1l-3IDRAYaj62v4Q/view?usp=drive_link" TargetMode="External"/><Relationship Id="rId9" Type="http://schemas.openxmlformats.org/officeDocument/2006/relationships/hyperlink" Target="https://drive.google.com/file/d/1oNjdL9uFkNGBxXapYqheqOxEPvukdmRT/view?usp=drive_link" TargetMode="External"/><Relationship Id="rId26" Type="http://schemas.openxmlformats.org/officeDocument/2006/relationships/hyperlink" Target="https://www.tiktok.com/@winnerizky/video/7649242313155300628" TargetMode="External"/><Relationship Id="rId25" Type="http://schemas.openxmlformats.org/officeDocument/2006/relationships/hyperlink" Target="https://drive.google.com/file/d/1vWYMauthyiwoifwN2j1T3_KbBKLmI8Zq/view?usp=drive_link" TargetMode="External"/><Relationship Id="rId28" Type="http://schemas.openxmlformats.org/officeDocument/2006/relationships/hyperlink" Target="https://drive.google.com/file/d/1-sdO-WNTopkHj1UKra9fjD9X4UtCDw5N/view?usp=drive_link" TargetMode="External"/><Relationship Id="rId27" Type="http://schemas.openxmlformats.org/officeDocument/2006/relationships/hyperlink" Target="http://www.tiktok.com/@lindafebrianaaa" TargetMode="External"/><Relationship Id="rId5" Type="http://schemas.openxmlformats.org/officeDocument/2006/relationships/hyperlink" Target="https://www.tiktok.com/@adifi_/video/7649246091145121045" TargetMode="External"/><Relationship Id="rId6" Type="http://schemas.openxmlformats.org/officeDocument/2006/relationships/hyperlink" Target="http://www.tiktok.com/@kadin5s" TargetMode="External"/><Relationship Id="rId29" Type="http://schemas.openxmlformats.org/officeDocument/2006/relationships/hyperlink" Target="https://drive.google.com/file/d/138-AhwjswTOUNqewcWFLca5fxbyQZHnX/view?usp=drive_link" TargetMode="External"/><Relationship Id="rId7" Type="http://schemas.openxmlformats.org/officeDocument/2006/relationships/hyperlink" Target="http://www.tiktok.com/@ramsest00" TargetMode="External"/><Relationship Id="rId8" Type="http://schemas.openxmlformats.org/officeDocument/2006/relationships/hyperlink" Target="https://docs.google.com/document/d/1q7muVzsWHAkpfT0WSa6coDpOrRAG5GxsCffnGMheM7A/edit?tab=t.0" TargetMode="External"/><Relationship Id="rId31" Type="http://schemas.openxmlformats.org/officeDocument/2006/relationships/hyperlink" Target="https://www.tiktok.com/@om.brewwwww" TargetMode="External"/><Relationship Id="rId30" Type="http://schemas.openxmlformats.org/officeDocument/2006/relationships/hyperlink" Target="https://www.tiktok.com/@lindafebrianaaa/video/7648961475654044935" TargetMode="External"/><Relationship Id="rId11" Type="http://schemas.openxmlformats.org/officeDocument/2006/relationships/hyperlink" Target="https://docs.google.com/document/d/1eABC0VENWlSSB1eJWtcuK5XftyK_TLUVzM5eTAqW1QU/edit?tab=t.0" TargetMode="External"/><Relationship Id="rId33" Type="http://schemas.openxmlformats.org/officeDocument/2006/relationships/hyperlink" Target="https://drive.google.com/file/d/1PyW50MXsfi51PxCeWz2jBfIRMrUPhSJx/view?usp=drive_link" TargetMode="External"/><Relationship Id="rId10" Type="http://schemas.openxmlformats.org/officeDocument/2006/relationships/hyperlink" Target="https://www.tiktok.com/@marucatfamily" TargetMode="External"/><Relationship Id="rId32" Type="http://schemas.openxmlformats.org/officeDocument/2006/relationships/hyperlink" Target="https://docs.google.com/document/d/1HOJFHjobtZsG0hygHIcC-v4C4TKOjhqkZ-vMM0gMnWc/edit?tab=t.0" TargetMode="External"/><Relationship Id="rId13" Type="http://schemas.openxmlformats.org/officeDocument/2006/relationships/hyperlink" Target="https://www.tiktok.com/@felvel817?_r=1&amp;_t=ZS-94hWPX7Lkd3" TargetMode="External"/><Relationship Id="rId35" Type="http://schemas.openxmlformats.org/officeDocument/2006/relationships/drawing" Target="../drawings/drawing3.xml"/><Relationship Id="rId12" Type="http://schemas.openxmlformats.org/officeDocument/2006/relationships/hyperlink" Target="https://drive.google.com/file/d/1ME0s6rY-4M6SbV3hbYQ0pk0pTO3j75cC/view?usp=sharing" TargetMode="External"/><Relationship Id="rId34" Type="http://schemas.openxmlformats.org/officeDocument/2006/relationships/hyperlink" Target="https://www.tiktok.com/@om.brewwwww/video/7648986140938095892" TargetMode="External"/><Relationship Id="rId15" Type="http://schemas.openxmlformats.org/officeDocument/2006/relationships/hyperlink" Target="mailto:aliy.kurnia@bvnetwork.net" TargetMode="External"/><Relationship Id="rId14" Type="http://schemas.openxmlformats.org/officeDocument/2006/relationships/hyperlink" Target="https://drive.google.com/file/d/1jWiKmmP5OsIfJXnC0jrqtP-wPxYzsYuB/view?usp=drive_link" TargetMode="External"/><Relationship Id="rId17" Type="http://schemas.openxmlformats.org/officeDocument/2006/relationships/hyperlink" Target="https://drive.google.com/file/d/1ZksEuOf6DOzXdDVNhqjNx_5pLBjFnBEK/view?usp=drive_link" TargetMode="External"/><Relationship Id="rId16" Type="http://schemas.openxmlformats.org/officeDocument/2006/relationships/hyperlink" Target="https://docs.google.com/document/d/1QMPFS10gw1br6zC08ly9SYk8u7g-4KoTrHihDPpaNjU/edit?tab=t.0" TargetMode="External"/><Relationship Id="rId19" Type="http://schemas.openxmlformats.org/officeDocument/2006/relationships/hyperlink" Target="https://www.tiktok.com/@felvel817/video/7649748855457713415?_r=1&amp;_t=ZS-94hWPX7Lkd3" TargetMode="External"/><Relationship Id="rId18" Type="http://schemas.openxmlformats.org/officeDocument/2006/relationships/hyperlink" Target="https://drive.google.com/file/d/1sQ0y7FcgaC3T2Y_M6eiVI7EOhphfFN1z/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1" max="1" width="4.5"/>
    <col customWidth="1" min="2" max="2" width="14.38"/>
    <col customWidth="1" min="3" max="3" width="17.13"/>
    <col customWidth="1" min="4" max="4" width="18.63"/>
    <col customWidth="1" min="5" max="5" width="10.63"/>
    <col customWidth="1" min="6" max="6" width="20.75"/>
    <col customWidth="1" min="7" max="7" width="8.75"/>
    <col customWidth="1" min="8" max="8" width="5.13"/>
    <col customWidth="1" min="9" max="9" width="7.75"/>
    <col customWidth="1" min="10" max="10" width="9.25"/>
    <col customWidth="1" min="11" max="11" width="11.0"/>
    <col customWidth="1" min="12" max="12" width="22.75"/>
    <col customWidth="1" min="13" max="13" width="3.75"/>
    <col customWidth="1" min="14" max="14" width="16.38"/>
    <col customWidth="1" min="15" max="15" width="15.25"/>
    <col customWidth="1" min="16" max="16" width="16.5"/>
    <col customWidth="1" min="17" max="17" width="33.38"/>
  </cols>
  <sheetData>
    <row r="1">
      <c r="A1" s="1"/>
      <c r="B1" s="2"/>
      <c r="C1" s="2"/>
      <c r="D1" s="3"/>
      <c r="E1" s="1"/>
      <c r="F1" s="1"/>
      <c r="G1" s="1"/>
      <c r="H1" s="1"/>
      <c r="I1" s="1" t="s">
        <v>0</v>
      </c>
      <c r="J1" s="1"/>
      <c r="K1" s="1"/>
      <c r="L1" s="1"/>
      <c r="M1" s="1"/>
      <c r="N1" s="1"/>
      <c r="O1" s="1"/>
      <c r="P1" s="4"/>
      <c r="Q1" s="4"/>
    </row>
    <row r="2">
      <c r="A2" s="1"/>
      <c r="B2" s="2"/>
      <c r="C2" s="2"/>
      <c r="D2" s="3"/>
      <c r="E2" s="1"/>
      <c r="F2" s="1"/>
      <c r="G2" s="1"/>
      <c r="H2" s="1"/>
      <c r="I2" s="1"/>
      <c r="J2" s="1"/>
      <c r="K2" s="1"/>
      <c r="L2" s="1"/>
      <c r="M2" s="1"/>
      <c r="N2" s="1"/>
      <c r="O2" s="1"/>
      <c r="P2" s="4"/>
      <c r="Q2" s="4"/>
    </row>
    <row r="3">
      <c r="A3" s="5" t="s">
        <v>1</v>
      </c>
      <c r="B3" s="6" t="s">
        <v>2</v>
      </c>
      <c r="C3" s="5" t="s">
        <v>3</v>
      </c>
      <c r="D3" s="7" t="s">
        <v>4</v>
      </c>
      <c r="E3" s="5" t="s">
        <v>5</v>
      </c>
      <c r="F3" s="8" t="s">
        <v>6</v>
      </c>
      <c r="G3" s="9" t="s">
        <v>7</v>
      </c>
      <c r="H3" s="5" t="s">
        <v>8</v>
      </c>
      <c r="I3" s="10" t="s">
        <v>9</v>
      </c>
      <c r="J3" s="7" t="s">
        <v>10</v>
      </c>
      <c r="K3" s="5" t="s">
        <v>11</v>
      </c>
      <c r="L3" s="11" t="s">
        <v>12</v>
      </c>
      <c r="M3" s="12"/>
      <c r="N3" s="13"/>
      <c r="O3" s="8" t="s">
        <v>13</v>
      </c>
      <c r="P3" s="14" t="s">
        <v>14</v>
      </c>
      <c r="Q3" s="7" t="s">
        <v>15</v>
      </c>
    </row>
    <row r="4">
      <c r="A4" s="15"/>
      <c r="B4" s="15"/>
      <c r="C4" s="15"/>
      <c r="D4" s="15"/>
      <c r="E4" s="15"/>
      <c r="F4" s="15"/>
      <c r="G4" s="15"/>
      <c r="H4" s="15"/>
      <c r="I4" s="15"/>
      <c r="J4" s="15"/>
      <c r="K4" s="15"/>
      <c r="L4" s="16" t="s">
        <v>16</v>
      </c>
      <c r="M4" s="17" t="s">
        <v>17</v>
      </c>
      <c r="N4" s="18" t="s">
        <v>18</v>
      </c>
      <c r="O4" s="15"/>
      <c r="P4" s="15"/>
      <c r="Q4" s="15"/>
    </row>
    <row r="5" ht="22.5" customHeight="1">
      <c r="A5" s="19">
        <v>1.0</v>
      </c>
      <c r="B5" s="20" t="s">
        <v>19</v>
      </c>
      <c r="C5" s="21" t="s">
        <v>20</v>
      </c>
      <c r="D5" s="22" t="s">
        <v>21</v>
      </c>
      <c r="E5" s="23" t="s">
        <v>22</v>
      </c>
      <c r="F5" s="24" t="s">
        <v>23</v>
      </c>
      <c r="G5" s="25">
        <v>59600.0</v>
      </c>
      <c r="H5" s="25" t="str">
        <f>IF(ISBLANK(G5),,IF((G5&gt;=4000000),"Celebrity",(IF(AND(G5&lt;4000000, G5&gt;=1000000),"Mega",(IF(AND(G5&lt;1000000, G5&gt;=100000),"Macro",(IF(AND(G5&lt;100000, G5&gt;=10000),"Micro",(IF((G5&lt;10000),"Nano",("Check")))))))))))</f>
        <v>Micro</v>
      </c>
      <c r="I5" s="26">
        <f>K5/G5</f>
        <v>0.1663422819</v>
      </c>
      <c r="J5" s="27">
        <f>average(6103,926100,19300,188200,4910,72100,136900,1577,33100)</f>
        <v>154254.4444</v>
      </c>
      <c r="K5" s="27">
        <f>8000+314+1600</f>
        <v>9914</v>
      </c>
      <c r="L5" s="28" t="s">
        <v>24</v>
      </c>
      <c r="M5" s="29">
        <v>1.0</v>
      </c>
      <c r="N5" s="30" t="s">
        <v>25</v>
      </c>
      <c r="O5" s="24">
        <v>2800000.0</v>
      </c>
      <c r="P5" s="23" t="s">
        <v>26</v>
      </c>
      <c r="Q5" s="23"/>
    </row>
    <row r="6">
      <c r="A6" s="15"/>
      <c r="B6" s="15"/>
      <c r="C6" s="15"/>
      <c r="D6" s="15"/>
      <c r="E6" s="15"/>
      <c r="F6" s="15"/>
      <c r="G6" s="15"/>
      <c r="H6" s="15"/>
      <c r="I6" s="15"/>
      <c r="J6" s="15"/>
      <c r="K6" s="15"/>
      <c r="L6" s="31"/>
      <c r="M6" s="29">
        <v>1.0</v>
      </c>
      <c r="N6" s="30" t="s">
        <v>27</v>
      </c>
      <c r="O6" s="15"/>
      <c r="P6" s="15"/>
      <c r="Q6" s="15"/>
    </row>
    <row r="7">
      <c r="A7" s="19">
        <v>2.0</v>
      </c>
      <c r="B7" s="20" t="s">
        <v>28</v>
      </c>
      <c r="C7" s="21" t="s">
        <v>29</v>
      </c>
      <c r="D7" s="22" t="s">
        <v>30</v>
      </c>
      <c r="E7" s="23" t="s">
        <v>22</v>
      </c>
      <c r="F7" s="24" t="s">
        <v>23</v>
      </c>
      <c r="G7" s="25">
        <v>71300.0</v>
      </c>
      <c r="H7" s="25" t="str">
        <f>IF(ISBLANK(G7),,IF((G7&gt;=4000000),"Celebrity",(IF(AND(G7&lt;4000000, G7&gt;=1000000),"Mega",(IF(AND(G7&lt;1000000, G7&gt;=100000),"Macro",(IF(AND(G7&lt;100000, G7&gt;=10000),"Micro",(IF((G7&lt;10000),"Nano",("Check")))))))))))</f>
        <v>Micro</v>
      </c>
      <c r="I7" s="26">
        <f>K7/G7</f>
        <v>0.01056100982</v>
      </c>
      <c r="J7" s="27">
        <f>average(5376,2561,1089,1089,9072,6881,1686,1933,1203,233400)</f>
        <v>26429</v>
      </c>
      <c r="K7" s="27">
        <f>734+5+14</f>
        <v>753</v>
      </c>
      <c r="L7" s="31"/>
      <c r="M7" s="29">
        <v>1.0</v>
      </c>
      <c r="N7" s="30" t="s">
        <v>25</v>
      </c>
      <c r="O7" s="24">
        <v>3800000.0</v>
      </c>
      <c r="P7" s="23"/>
      <c r="Q7" s="32"/>
    </row>
    <row r="8">
      <c r="A8" s="15"/>
      <c r="B8" s="15"/>
      <c r="C8" s="15"/>
      <c r="D8" s="15"/>
      <c r="E8" s="15"/>
      <c r="F8" s="15"/>
      <c r="G8" s="15"/>
      <c r="H8" s="15"/>
      <c r="I8" s="15"/>
      <c r="J8" s="15"/>
      <c r="K8" s="15"/>
      <c r="L8" s="31"/>
      <c r="M8" s="29">
        <v>1.0</v>
      </c>
      <c r="N8" s="30" t="s">
        <v>27</v>
      </c>
      <c r="O8" s="15"/>
      <c r="P8" s="15"/>
      <c r="Q8" s="32"/>
    </row>
    <row r="9">
      <c r="A9" s="19">
        <v>3.0</v>
      </c>
      <c r="B9" s="20" t="s">
        <v>31</v>
      </c>
      <c r="C9" s="21" t="s">
        <v>32</v>
      </c>
      <c r="D9" s="22" t="s">
        <v>33</v>
      </c>
      <c r="E9" s="23" t="s">
        <v>22</v>
      </c>
      <c r="F9" s="24" t="s">
        <v>23</v>
      </c>
      <c r="G9" s="25">
        <v>35600.0</v>
      </c>
      <c r="H9" s="25" t="str">
        <f>IF(ISBLANK(G9),,IF((G9&gt;=4000000),"Celebrity",(IF(AND(G9&lt;4000000, G9&gt;=1000000),"Mega",(IF(AND(G9&lt;1000000, G9&gt;=100000),"Macro",(IF(AND(G9&lt;100000, G9&gt;=10000),"Micro",(IF((G9&lt;10000),"Nano",("Check")))))))))))</f>
        <v>Micro</v>
      </c>
      <c r="I9" s="26">
        <f>K9/G9</f>
        <v>0.1073033708</v>
      </c>
      <c r="J9" s="27">
        <f>average(10700,77600,36600,225100,12300,12300,111000,13000,18000,83000)</f>
        <v>59960</v>
      </c>
      <c r="K9" s="27">
        <f>3100+127+593</f>
        <v>3820</v>
      </c>
      <c r="L9" s="31"/>
      <c r="M9" s="29">
        <v>1.0</v>
      </c>
      <c r="N9" s="30" t="s">
        <v>25</v>
      </c>
      <c r="O9" s="33">
        <v>1900000.0</v>
      </c>
      <c r="P9" s="23" t="s">
        <v>34</v>
      </c>
      <c r="Q9" s="32"/>
    </row>
    <row r="10">
      <c r="A10" s="15"/>
      <c r="B10" s="15"/>
      <c r="C10" s="15"/>
      <c r="D10" s="15"/>
      <c r="E10" s="15"/>
      <c r="F10" s="15"/>
      <c r="G10" s="15"/>
      <c r="H10" s="15"/>
      <c r="I10" s="15"/>
      <c r="J10" s="15"/>
      <c r="K10" s="15"/>
      <c r="L10" s="31"/>
      <c r="M10" s="29"/>
      <c r="N10" s="30"/>
      <c r="O10" s="34"/>
      <c r="P10" s="15"/>
      <c r="Q10" s="32"/>
    </row>
    <row r="11">
      <c r="A11" s="19">
        <v>4.0</v>
      </c>
      <c r="B11" s="20" t="s">
        <v>19</v>
      </c>
      <c r="C11" s="21" t="s">
        <v>35</v>
      </c>
      <c r="D11" s="22" t="s">
        <v>36</v>
      </c>
      <c r="E11" s="23" t="s">
        <v>22</v>
      </c>
      <c r="F11" s="24" t="s">
        <v>23</v>
      </c>
      <c r="G11" s="25">
        <v>18100.0</v>
      </c>
      <c r="H11" s="25" t="str">
        <f>IF(ISBLANK(G11),,IF((G11&gt;=4000000),"Celebrity",(IF(AND(G11&lt;4000000, G11&gt;=1000000),"Mega",(IF(AND(G11&lt;1000000, G11&gt;=100000),"Macro",(IF(AND(G11&lt;100000, G11&gt;=10000),"Micro",(IF((G11&lt;10000),"Nano",("Check")))))))))))</f>
        <v>Micro</v>
      </c>
      <c r="I11" s="26">
        <f>K11/G11</f>
        <v>0.08414364641</v>
      </c>
      <c r="J11" s="27">
        <f>average(98600,12300,6325,31600,34200,676500,3710,6520,9752,31600)</f>
        <v>91110.7</v>
      </c>
      <c r="K11" s="27">
        <f>1400+63+60</f>
        <v>1523</v>
      </c>
      <c r="L11" s="31"/>
      <c r="M11" s="29">
        <v>1.0</v>
      </c>
      <c r="N11" s="30" t="s">
        <v>25</v>
      </c>
      <c r="O11" s="24">
        <v>1000000.0</v>
      </c>
      <c r="P11" s="23"/>
      <c r="Q11" s="35"/>
    </row>
    <row r="12">
      <c r="A12" s="15"/>
      <c r="B12" s="15"/>
      <c r="C12" s="15"/>
      <c r="D12" s="15"/>
      <c r="E12" s="15"/>
      <c r="F12" s="15"/>
      <c r="G12" s="15"/>
      <c r="H12" s="15"/>
      <c r="I12" s="15"/>
      <c r="J12" s="15"/>
      <c r="K12" s="15"/>
      <c r="L12" s="31"/>
      <c r="M12" s="29">
        <v>1.0</v>
      </c>
      <c r="N12" s="30" t="s">
        <v>27</v>
      </c>
      <c r="O12" s="15"/>
      <c r="P12" s="15"/>
      <c r="Q12" s="15"/>
    </row>
    <row r="13">
      <c r="A13" s="19">
        <v>5.0</v>
      </c>
      <c r="B13" s="20" t="s">
        <v>28</v>
      </c>
      <c r="C13" s="21" t="s">
        <v>37</v>
      </c>
      <c r="D13" s="22" t="s">
        <v>38</v>
      </c>
      <c r="E13" s="23" t="s">
        <v>22</v>
      </c>
      <c r="F13" s="24" t="s">
        <v>23</v>
      </c>
      <c r="G13" s="25">
        <v>5136.0</v>
      </c>
      <c r="H13" s="25" t="str">
        <f>IF(ISBLANK(G13),,IF((G13&gt;=4000000),"Celebrity",(IF(AND(G13&lt;4000000, G13&gt;=1000000),"Mega",(IF(AND(G13&lt;1000000, G13&gt;=100000),"Macro",(IF(AND(G13&lt;100000, G13&gt;=10000),"Micro",(IF((G13&lt;10000),"Nano",("Check")))))))))))</f>
        <v>Nano</v>
      </c>
      <c r="I13" s="26">
        <f>K13/G13</f>
        <v>0.1199376947</v>
      </c>
      <c r="J13" s="27">
        <v>22400.0</v>
      </c>
      <c r="K13" s="27">
        <f>546+22+48</f>
        <v>616</v>
      </c>
      <c r="L13" s="31"/>
      <c r="M13" s="29">
        <v>1.0</v>
      </c>
      <c r="N13" s="30" t="s">
        <v>25</v>
      </c>
      <c r="O13" s="24">
        <v>1000000.0</v>
      </c>
      <c r="P13" s="23"/>
      <c r="Q13" s="36"/>
    </row>
    <row r="14">
      <c r="A14" s="15"/>
      <c r="B14" s="15"/>
      <c r="C14" s="15"/>
      <c r="D14" s="15"/>
      <c r="E14" s="15"/>
      <c r="F14" s="15"/>
      <c r="G14" s="15"/>
      <c r="H14" s="15"/>
      <c r="I14" s="15"/>
      <c r="J14" s="15"/>
      <c r="K14" s="15"/>
      <c r="L14" s="31"/>
      <c r="M14" s="29">
        <v>1.0</v>
      </c>
      <c r="N14" s="30" t="s">
        <v>27</v>
      </c>
      <c r="O14" s="15"/>
      <c r="P14" s="15"/>
      <c r="Q14" s="36"/>
    </row>
    <row r="15">
      <c r="A15" s="19">
        <v>6.0</v>
      </c>
      <c r="B15" s="20" t="s">
        <v>39</v>
      </c>
      <c r="C15" s="21" t="s">
        <v>40</v>
      </c>
      <c r="D15" s="22" t="s">
        <v>41</v>
      </c>
      <c r="E15" s="23" t="s">
        <v>22</v>
      </c>
      <c r="F15" s="24" t="s">
        <v>42</v>
      </c>
      <c r="G15" s="25">
        <v>2019.0</v>
      </c>
      <c r="H15" s="25" t="str">
        <f>IF(ISBLANK(G15),,IF((G15&gt;=4000000),"Celebrity",(IF(AND(G15&lt;4000000, G15&gt;=1000000),"Mega",(IF(AND(G15&lt;1000000, G15&gt;=100000),"Macro",(IF(AND(G15&lt;100000, G15&gt;=10000),"Micro",(IF((G15&lt;10000),"Nano",("Check")))))))))))</f>
        <v>Nano</v>
      </c>
      <c r="I15" s="26">
        <f>K15/G15</f>
        <v>0</v>
      </c>
      <c r="J15" s="27"/>
      <c r="K15" s="27"/>
      <c r="L15" s="31"/>
      <c r="M15" s="37"/>
      <c r="N15" s="38"/>
      <c r="O15" s="39"/>
      <c r="P15" s="23"/>
      <c r="Q15" s="36"/>
    </row>
    <row r="16">
      <c r="A16" s="15"/>
      <c r="B16" s="15"/>
      <c r="C16" s="15"/>
      <c r="D16" s="15"/>
      <c r="E16" s="15"/>
      <c r="F16" s="15"/>
      <c r="G16" s="15"/>
      <c r="H16" s="15"/>
      <c r="I16" s="15"/>
      <c r="J16" s="15"/>
      <c r="K16" s="15"/>
      <c r="L16" s="31"/>
      <c r="M16" s="37"/>
      <c r="N16" s="38"/>
      <c r="O16" s="39"/>
      <c r="P16" s="15"/>
      <c r="Q16" s="36"/>
    </row>
    <row r="17">
      <c r="A17" s="19">
        <v>7.0</v>
      </c>
      <c r="B17" s="20" t="s">
        <v>28</v>
      </c>
      <c r="C17" s="21" t="s">
        <v>43</v>
      </c>
      <c r="D17" s="22" t="s">
        <v>44</v>
      </c>
      <c r="E17" s="23" t="s">
        <v>22</v>
      </c>
      <c r="F17" s="24" t="s">
        <v>45</v>
      </c>
      <c r="G17" s="25">
        <v>32000.0</v>
      </c>
      <c r="H17" s="25" t="str">
        <f>IF(ISBLANK(G17),,IF((G17&gt;=4000000),"Celebrity",(IF(AND(G17&lt;4000000, G17&gt;=1000000),"Mega",(IF(AND(G17&lt;1000000, G17&gt;=100000),"Macro",(IF(AND(G17&lt;100000, G17&gt;=10000),"Micro",(IF((G17&lt;10000),"Nano",("Check")))))))))))</f>
        <v>Micro</v>
      </c>
      <c r="I17" s="26">
        <f>K17/G17</f>
        <v>0.27028125</v>
      </c>
      <c r="J17" s="27">
        <f>average(26900,29200,18400,211700,93500,8755,66300,15900,124500,35800)</f>
        <v>63095.5</v>
      </c>
      <c r="K17" s="27">
        <f>8000+110+539</f>
        <v>8649</v>
      </c>
      <c r="L17" s="31"/>
      <c r="M17" s="40">
        <v>1.0</v>
      </c>
      <c r="N17" s="30" t="s">
        <v>25</v>
      </c>
      <c r="O17" s="33">
        <v>4800000.0</v>
      </c>
      <c r="P17" s="23" t="s">
        <v>46</v>
      </c>
      <c r="Q17" s="36"/>
    </row>
    <row r="18">
      <c r="A18" s="15"/>
      <c r="B18" s="15"/>
      <c r="C18" s="15"/>
      <c r="D18" s="15"/>
      <c r="E18" s="15"/>
      <c r="F18" s="15"/>
      <c r="G18" s="15"/>
      <c r="H18" s="15"/>
      <c r="I18" s="15"/>
      <c r="J18" s="15"/>
      <c r="K18" s="15"/>
      <c r="L18" s="31"/>
      <c r="M18" s="40">
        <v>1.0</v>
      </c>
      <c r="N18" s="30" t="s">
        <v>27</v>
      </c>
      <c r="O18" s="33">
        <v>2900000.0</v>
      </c>
      <c r="P18" s="15"/>
      <c r="Q18" s="36" t="s">
        <v>47</v>
      </c>
    </row>
    <row r="19">
      <c r="A19" s="19">
        <v>8.0</v>
      </c>
      <c r="B19" s="20" t="s">
        <v>39</v>
      </c>
      <c r="C19" s="21" t="s">
        <v>48</v>
      </c>
      <c r="D19" s="22" t="s">
        <v>49</v>
      </c>
      <c r="E19" s="23" t="s">
        <v>22</v>
      </c>
      <c r="F19" s="24" t="s">
        <v>45</v>
      </c>
      <c r="G19" s="25">
        <v>28700.0</v>
      </c>
      <c r="H19" s="25" t="str">
        <f>IF(ISBLANK(G19),,IF((G19&gt;=4000000),"Celebrity",(IF(AND(G19&lt;4000000, G19&gt;=1000000),"Mega",(IF(AND(G19&lt;1000000, G19&gt;=100000),"Macro",(IF(AND(G19&lt;100000, G19&gt;=10000),"Micro",(IF((G19&lt;10000),"Nano",("Check")))))))))))</f>
        <v>Micro</v>
      </c>
      <c r="I19" s="26">
        <f>K19/G19</f>
        <v>0</v>
      </c>
      <c r="J19" s="27"/>
      <c r="K19" s="41"/>
      <c r="L19" s="31"/>
      <c r="M19" s="37"/>
      <c r="N19" s="38"/>
      <c r="O19" s="39"/>
      <c r="P19" s="23"/>
      <c r="Q19" s="36"/>
    </row>
    <row r="20">
      <c r="A20" s="15"/>
      <c r="B20" s="15"/>
      <c r="C20" s="15"/>
      <c r="D20" s="15"/>
      <c r="E20" s="15"/>
      <c r="F20" s="15"/>
      <c r="G20" s="15"/>
      <c r="H20" s="15"/>
      <c r="I20" s="15"/>
      <c r="J20" s="15"/>
      <c r="K20" s="15"/>
      <c r="L20" s="31"/>
      <c r="M20" s="37"/>
      <c r="N20" s="38"/>
      <c r="O20" s="39"/>
      <c r="P20" s="15"/>
      <c r="Q20" s="36"/>
    </row>
    <row r="21">
      <c r="A21" s="19">
        <v>9.0</v>
      </c>
      <c r="B21" s="20" t="s">
        <v>28</v>
      </c>
      <c r="C21" s="21" t="s">
        <v>50</v>
      </c>
      <c r="D21" s="22" t="s">
        <v>51</v>
      </c>
      <c r="E21" s="23" t="s">
        <v>22</v>
      </c>
      <c r="F21" s="24" t="s">
        <v>23</v>
      </c>
      <c r="G21" s="25">
        <v>61700.0</v>
      </c>
      <c r="H21" s="25" t="str">
        <f>IF(ISBLANK(G21),,IF((G21&gt;=4000000),"Celebrity",(IF(AND(G21&lt;4000000, G21&gt;=1000000),"Mega",(IF(AND(G21&lt;1000000, G21&gt;=100000),"Macro",(IF(AND(G21&lt;100000, G21&gt;=10000),"Micro",(IF((G21&lt;10000),"Nano",("Check")))))))))))</f>
        <v>Micro</v>
      </c>
      <c r="I21" s="26">
        <f>K21/G21</f>
        <v>0.02037277147</v>
      </c>
      <c r="J21" s="27">
        <f>average(22600,17300,7273,3844,6892,941,43700,9285,13800,48400)</f>
        <v>17403.5</v>
      </c>
      <c r="K21" s="27">
        <f>1200+11+46</f>
        <v>1257</v>
      </c>
      <c r="L21" s="31"/>
      <c r="M21" s="29">
        <v>1.0</v>
      </c>
      <c r="N21" s="30" t="s">
        <v>25</v>
      </c>
      <c r="O21" s="24">
        <v>2900000.0</v>
      </c>
      <c r="P21" s="23"/>
      <c r="Q21" s="36"/>
    </row>
    <row r="22">
      <c r="A22" s="15"/>
      <c r="B22" s="15"/>
      <c r="C22" s="15"/>
      <c r="D22" s="15"/>
      <c r="E22" s="15"/>
      <c r="F22" s="15"/>
      <c r="G22" s="15"/>
      <c r="H22" s="15"/>
      <c r="I22" s="15"/>
      <c r="J22" s="15"/>
      <c r="K22" s="15"/>
      <c r="L22" s="31"/>
      <c r="M22" s="40">
        <v>1.0</v>
      </c>
      <c r="N22" s="30" t="s">
        <v>27</v>
      </c>
      <c r="O22" s="15"/>
      <c r="P22" s="15"/>
      <c r="Q22" s="36"/>
    </row>
    <row r="23">
      <c r="A23" s="19">
        <v>10.0</v>
      </c>
      <c r="B23" s="20" t="s">
        <v>19</v>
      </c>
      <c r="C23" s="21" t="s">
        <v>52</v>
      </c>
      <c r="D23" s="22" t="s">
        <v>53</v>
      </c>
      <c r="E23" s="23" t="s">
        <v>22</v>
      </c>
      <c r="F23" s="24" t="s">
        <v>23</v>
      </c>
      <c r="G23" s="25">
        <v>1961.0</v>
      </c>
      <c r="H23" s="25" t="str">
        <f>IF(ISBLANK(G23),,IF((G23&gt;=4000000),"Celebrity",(IF(AND(G23&lt;4000000, G23&gt;=1000000),"Mega",(IF(AND(G23&lt;1000000, G23&gt;=100000),"Macro",(IF(AND(G23&lt;100000, G23&gt;=10000),"Micro",(IF((G23&lt;10000),"Nano",("Check")))))))))))</f>
        <v>Nano</v>
      </c>
      <c r="I23" s="26">
        <f>K23/G23</f>
        <v>0</v>
      </c>
      <c r="J23" s="27"/>
      <c r="K23" s="27"/>
      <c r="L23" s="31"/>
      <c r="M23" s="40">
        <v>1.0</v>
      </c>
      <c r="N23" s="30" t="s">
        <v>25</v>
      </c>
      <c r="O23" s="24">
        <v>1400000.0</v>
      </c>
      <c r="P23" s="23"/>
      <c r="Q23" s="36"/>
    </row>
    <row r="24">
      <c r="A24" s="15"/>
      <c r="B24" s="15"/>
      <c r="C24" s="15"/>
      <c r="D24" s="15"/>
      <c r="E24" s="15"/>
      <c r="F24" s="15"/>
      <c r="G24" s="15"/>
      <c r="H24" s="15"/>
      <c r="I24" s="15"/>
      <c r="J24" s="15"/>
      <c r="K24" s="15"/>
      <c r="L24" s="31"/>
      <c r="M24" s="29">
        <v>1.0</v>
      </c>
      <c r="N24" s="30" t="s">
        <v>27</v>
      </c>
      <c r="O24" s="15"/>
      <c r="P24" s="15"/>
      <c r="Q24" s="36"/>
    </row>
    <row r="25">
      <c r="A25" s="19">
        <v>11.0</v>
      </c>
      <c r="B25" s="20" t="s">
        <v>28</v>
      </c>
      <c r="C25" s="21" t="s">
        <v>54</v>
      </c>
      <c r="D25" s="22" t="s">
        <v>55</v>
      </c>
      <c r="E25" s="23" t="s">
        <v>22</v>
      </c>
      <c r="F25" s="24" t="s">
        <v>23</v>
      </c>
      <c r="G25" s="25">
        <v>70400.0</v>
      </c>
      <c r="H25" s="25" t="str">
        <f>IF(ISBLANK(G25),,IF((G25&gt;=4000000),"Celebrity",(IF(AND(G25&lt;4000000, G25&gt;=1000000),"Mega",(IF(AND(G25&lt;1000000, G25&gt;=100000),"Macro",(IF(AND(G25&lt;100000, G25&gt;=10000),"Micro",(IF((G25&lt;10000),"Nano",("Check")))))))))))</f>
        <v>Micro</v>
      </c>
      <c r="I25" s="26">
        <f>K25/G25</f>
        <v>0.03880681818</v>
      </c>
      <c r="J25" s="27">
        <f>average(30100,27000,6005,6207,657800,508900,4525,15600,215300,558200)</f>
        <v>202963.7</v>
      </c>
      <c r="K25" s="27">
        <f>2600+52+80</f>
        <v>2732</v>
      </c>
      <c r="L25" s="31"/>
      <c r="M25" s="29">
        <v>1.0</v>
      </c>
      <c r="N25" s="30" t="s">
        <v>25</v>
      </c>
      <c r="O25" s="24">
        <v>3800000.0</v>
      </c>
      <c r="P25" s="25" t="s">
        <v>56</v>
      </c>
      <c r="Q25" s="36"/>
    </row>
    <row r="26">
      <c r="A26" s="15"/>
      <c r="B26" s="15"/>
      <c r="C26" s="15"/>
      <c r="D26" s="15"/>
      <c r="E26" s="15"/>
      <c r="F26" s="15"/>
      <c r="G26" s="15"/>
      <c r="H26" s="15"/>
      <c r="I26" s="15"/>
      <c r="J26" s="15"/>
      <c r="K26" s="15"/>
      <c r="L26" s="31"/>
      <c r="M26" s="29">
        <v>1.0</v>
      </c>
      <c r="N26" s="30" t="s">
        <v>27</v>
      </c>
      <c r="O26" s="15"/>
      <c r="P26" s="15"/>
      <c r="Q26" s="36"/>
    </row>
    <row r="27">
      <c r="A27" s="19">
        <v>12.0</v>
      </c>
      <c r="B27" s="20" t="s">
        <v>28</v>
      </c>
      <c r="C27" s="21" t="s">
        <v>57</v>
      </c>
      <c r="D27" s="42" t="s">
        <v>58</v>
      </c>
      <c r="E27" s="23" t="s">
        <v>22</v>
      </c>
      <c r="F27" s="24" t="s">
        <v>23</v>
      </c>
      <c r="G27" s="25">
        <v>27000.0</v>
      </c>
      <c r="H27" s="25" t="str">
        <f>IF(ISBLANK(G27),,IF((G27&gt;=4000000),"Celebrity",(IF(AND(G27&lt;4000000, G27&gt;=1000000),"Mega",(IF(AND(G27&lt;1000000, G27&gt;=100000),"Macro",(IF(AND(G27&lt;100000, G27&gt;=10000),"Micro",(IF((G27&lt;10000),"Nano",("Check")))))))))))</f>
        <v>Micro</v>
      </c>
      <c r="I27" s="26">
        <f>K27/G27</f>
        <v>0.02159259259</v>
      </c>
      <c r="J27" s="27">
        <v>9600.0</v>
      </c>
      <c r="K27" s="27">
        <f>519+14+50</f>
        <v>583</v>
      </c>
      <c r="L27" s="31"/>
      <c r="M27" s="29">
        <v>1.0</v>
      </c>
      <c r="N27" s="30" t="s">
        <v>25</v>
      </c>
      <c r="O27" s="24">
        <v>3000000.0</v>
      </c>
      <c r="P27" s="23"/>
      <c r="Q27" s="36"/>
    </row>
    <row r="28">
      <c r="A28" s="15"/>
      <c r="B28" s="15"/>
      <c r="C28" s="15"/>
      <c r="D28" s="15"/>
      <c r="E28" s="15"/>
      <c r="F28" s="15"/>
      <c r="G28" s="15"/>
      <c r="H28" s="15"/>
      <c r="I28" s="15"/>
      <c r="J28" s="15"/>
      <c r="K28" s="15"/>
      <c r="L28" s="31"/>
      <c r="M28" s="29">
        <v>1.0</v>
      </c>
      <c r="N28" s="30" t="s">
        <v>27</v>
      </c>
      <c r="O28" s="15"/>
      <c r="P28" s="15"/>
      <c r="Q28" s="36"/>
    </row>
    <row r="29">
      <c r="A29" s="19">
        <v>13.0</v>
      </c>
      <c r="B29" s="20" t="s">
        <v>28</v>
      </c>
      <c r="C29" s="21" t="s">
        <v>59</v>
      </c>
      <c r="D29" s="22" t="s">
        <v>60</v>
      </c>
      <c r="E29" s="23" t="s">
        <v>22</v>
      </c>
      <c r="F29" s="24" t="s">
        <v>23</v>
      </c>
      <c r="G29" s="25">
        <v>9585.0</v>
      </c>
      <c r="H29" s="25" t="str">
        <f>IF(ISBLANK(G29),,IF((G29&gt;=4000000),"Celebrity",(IF(AND(G29&lt;4000000, G29&gt;=1000000),"Mega",(IF(AND(G29&lt;1000000, G29&gt;=100000),"Macro",(IF(AND(G29&lt;100000, G29&gt;=10000),"Micro",(IF((G29&lt;10000),"Nano",("Check")))))))))))</f>
        <v>Nano</v>
      </c>
      <c r="I29" s="26">
        <f>K29/G29</f>
        <v>0</v>
      </c>
      <c r="J29" s="27"/>
      <c r="K29" s="41"/>
      <c r="L29" s="31"/>
      <c r="M29" s="29">
        <v>1.0</v>
      </c>
      <c r="N29" s="30" t="s">
        <v>25</v>
      </c>
      <c r="O29" s="33">
        <v>1900000.0</v>
      </c>
      <c r="P29" s="23"/>
      <c r="Q29" s="36" t="s">
        <v>61</v>
      </c>
    </row>
    <row r="30">
      <c r="A30" s="15"/>
      <c r="B30" s="15"/>
      <c r="C30" s="15"/>
      <c r="D30" s="15"/>
      <c r="E30" s="15"/>
      <c r="F30" s="15"/>
      <c r="G30" s="15"/>
      <c r="H30" s="15"/>
      <c r="I30" s="15"/>
      <c r="J30" s="15"/>
      <c r="K30" s="15"/>
      <c r="L30" s="31"/>
      <c r="M30" s="37"/>
      <c r="N30" s="38"/>
      <c r="O30" s="39"/>
      <c r="P30" s="15"/>
      <c r="Q30" s="36"/>
    </row>
    <row r="31">
      <c r="A31" s="19">
        <v>14.0</v>
      </c>
      <c r="B31" s="20" t="s">
        <v>19</v>
      </c>
      <c r="C31" s="21" t="s">
        <v>62</v>
      </c>
      <c r="D31" s="22" t="s">
        <v>63</v>
      </c>
      <c r="E31" s="23" t="s">
        <v>22</v>
      </c>
      <c r="F31" s="24" t="s">
        <v>64</v>
      </c>
      <c r="G31" s="25">
        <v>7545.0</v>
      </c>
      <c r="H31" s="25" t="str">
        <f>IF(ISBLANK(G31),,IF((G31&gt;=4000000),"Celebrity",(IF(AND(G31&lt;4000000, G31&gt;=1000000),"Mega",(IF(AND(G31&lt;1000000, G31&gt;=100000),"Macro",(IF(AND(G31&lt;100000, G31&gt;=10000),"Micro",(IF((G31&lt;10000),"Nano",("Check")))))))))))</f>
        <v>Nano</v>
      </c>
      <c r="I31" s="26">
        <f>K31/G31</f>
        <v>3.467329357</v>
      </c>
      <c r="J31" s="27">
        <v>312600.0</v>
      </c>
      <c r="K31" s="27">
        <f>23600+261+2300</f>
        <v>26161</v>
      </c>
      <c r="L31" s="31"/>
      <c r="M31" s="29">
        <v>1.0</v>
      </c>
      <c r="N31" s="30" t="s">
        <v>25</v>
      </c>
      <c r="O31" s="24">
        <v>4400000.0</v>
      </c>
      <c r="P31" s="35" t="s">
        <v>65</v>
      </c>
      <c r="Q31" s="36"/>
    </row>
    <row r="32">
      <c r="A32" s="15"/>
      <c r="B32" s="15"/>
      <c r="C32" s="15"/>
      <c r="D32" s="15"/>
      <c r="E32" s="15"/>
      <c r="F32" s="15"/>
      <c r="G32" s="15"/>
      <c r="H32" s="15"/>
      <c r="I32" s="15"/>
      <c r="J32" s="15"/>
      <c r="K32" s="15"/>
      <c r="L32" s="31"/>
      <c r="M32" s="29">
        <v>1.0</v>
      </c>
      <c r="N32" s="30" t="s">
        <v>27</v>
      </c>
      <c r="O32" s="15"/>
      <c r="P32" s="15"/>
      <c r="Q32" s="36"/>
    </row>
    <row r="33">
      <c r="A33" s="19">
        <v>15.0</v>
      </c>
      <c r="B33" s="20" t="s">
        <v>28</v>
      </c>
      <c r="C33" s="21" t="s">
        <v>66</v>
      </c>
      <c r="D33" s="43" t="s">
        <v>67</v>
      </c>
      <c r="E33" s="23" t="s">
        <v>22</v>
      </c>
      <c r="F33" s="24" t="s">
        <v>64</v>
      </c>
      <c r="G33" s="25">
        <v>81700.0</v>
      </c>
      <c r="H33" s="25" t="str">
        <f>IF(ISBLANK(G33),,IF((G33&gt;=4000000),"Celebrity",(IF(AND(G33&lt;4000000, G33&gt;=1000000),"Mega",(IF(AND(G33&lt;1000000, G33&gt;=100000),"Macro",(IF(AND(G33&lt;100000, G33&gt;=10000),"Micro",(IF((G33&lt;10000),"Nano",("Check")))))))))))</f>
        <v>Micro</v>
      </c>
      <c r="I33" s="26">
        <f>K33/G33</f>
        <v>0.08067319461</v>
      </c>
      <c r="J33" s="27">
        <v>233600.0</v>
      </c>
      <c r="K33" s="27">
        <f>6000+132+459</f>
        <v>6591</v>
      </c>
      <c r="L33" s="31"/>
      <c r="M33" s="29">
        <v>1.0</v>
      </c>
      <c r="N33" s="30" t="s">
        <v>25</v>
      </c>
      <c r="O33" s="33">
        <v>2300000.0</v>
      </c>
      <c r="P33" s="23"/>
      <c r="Q33" s="36"/>
    </row>
    <row r="34">
      <c r="A34" s="15"/>
      <c r="B34" s="15"/>
      <c r="C34" s="15"/>
      <c r="D34" s="15"/>
      <c r="E34" s="15"/>
      <c r="F34" s="15"/>
      <c r="G34" s="15"/>
      <c r="H34" s="15"/>
      <c r="I34" s="15"/>
      <c r="J34" s="15"/>
      <c r="K34" s="15"/>
      <c r="L34" s="31"/>
      <c r="M34" s="29"/>
      <c r="N34" s="30"/>
      <c r="O34" s="44"/>
      <c r="P34" s="15"/>
      <c r="Q34" s="45"/>
    </row>
    <row r="35">
      <c r="A35" s="46">
        <v>16.0</v>
      </c>
      <c r="B35" s="20" t="s">
        <v>28</v>
      </c>
      <c r="C35" s="47" t="s">
        <v>68</v>
      </c>
      <c r="D35" s="43" t="s">
        <v>69</v>
      </c>
      <c r="E35" s="35" t="s">
        <v>22</v>
      </c>
      <c r="F35" s="25" t="s">
        <v>45</v>
      </c>
      <c r="G35" s="25">
        <v>10100.0</v>
      </c>
      <c r="H35" s="25" t="str">
        <f>IF(ISBLANK(G35),,IF((G35&gt;=4000000),"Celebrity",(IF(AND(G35&lt;4000000, G35&gt;=1000000),"Mega",(IF(AND(G35&lt;1000000, G35&gt;=100000),"Macro",(IF(AND(G35&lt;100000, G35&gt;=10000),"Micro",(IF((G35&lt;10000),"Nano",("Check")))))))))))</f>
        <v>Micro</v>
      </c>
      <c r="I35" s="26">
        <f>K35/G35</f>
        <v>0.07089108911</v>
      </c>
      <c r="J35" s="27">
        <f>average(2245,1524,3822,1305,3355,27900,5042,1609,3809,1992)</f>
        <v>5260.3</v>
      </c>
      <c r="K35" s="27">
        <f>640+25+51</f>
        <v>716</v>
      </c>
      <c r="L35" s="31"/>
      <c r="M35" s="29">
        <v>1.0</v>
      </c>
      <c r="N35" s="30" t="s">
        <v>25</v>
      </c>
      <c r="O35" s="33">
        <v>1700000.0</v>
      </c>
      <c r="P35" s="23" t="s">
        <v>46</v>
      </c>
      <c r="Q35" s="48" t="s">
        <v>70</v>
      </c>
    </row>
    <row r="36">
      <c r="A36" s="15"/>
      <c r="B36" s="15"/>
      <c r="C36" s="15"/>
      <c r="D36" s="15"/>
      <c r="E36" s="15"/>
      <c r="F36" s="15"/>
      <c r="G36" s="15"/>
      <c r="H36" s="15"/>
      <c r="I36" s="15"/>
      <c r="J36" s="15"/>
      <c r="K36" s="15"/>
      <c r="L36" s="31"/>
      <c r="M36" s="29">
        <v>1.0</v>
      </c>
      <c r="N36" s="30" t="s">
        <v>27</v>
      </c>
      <c r="O36" s="39" t="str">
        <f>AD36</f>
        <v/>
      </c>
      <c r="P36" s="15"/>
      <c r="Q36" s="49" t="s">
        <v>71</v>
      </c>
    </row>
    <row r="37">
      <c r="A37" s="46">
        <v>17.0</v>
      </c>
      <c r="B37" s="20" t="s">
        <v>28</v>
      </c>
      <c r="C37" s="47" t="s">
        <v>72</v>
      </c>
      <c r="D37" s="43" t="s">
        <v>69</v>
      </c>
      <c r="E37" s="35" t="s">
        <v>22</v>
      </c>
      <c r="F37" s="25" t="s">
        <v>45</v>
      </c>
      <c r="G37" s="25">
        <v>5067.0</v>
      </c>
      <c r="H37" s="25" t="str">
        <f>IF(ISBLANK(G37),,IF((G37&gt;=4000000),"Celebrity",(IF(AND(G37&lt;4000000, G37&gt;=1000000),"Mega",(IF(AND(G37&lt;1000000, G37&gt;=100000),"Macro",(IF(AND(G37&lt;100000, G37&gt;=10000),"Micro",(IF((G37&lt;10000),"Nano",("Check")))))))))))</f>
        <v>Nano</v>
      </c>
      <c r="I37" s="26">
        <f>K37/G37</f>
        <v>0.02486678508</v>
      </c>
      <c r="J37" s="27">
        <v>892.0</v>
      </c>
      <c r="K37" s="27">
        <f>114+8+4</f>
        <v>126</v>
      </c>
      <c r="L37" s="31"/>
      <c r="M37" s="29">
        <v>1.0</v>
      </c>
      <c r="N37" s="30" t="s">
        <v>25</v>
      </c>
      <c r="O37" s="33">
        <v>1000000.0</v>
      </c>
      <c r="P37" s="23" t="s">
        <v>73</v>
      </c>
      <c r="Q37" s="48"/>
    </row>
    <row r="38">
      <c r="A38" s="15"/>
      <c r="B38" s="15"/>
      <c r="C38" s="15"/>
      <c r="D38" s="15"/>
      <c r="E38" s="15"/>
      <c r="F38" s="15"/>
      <c r="G38" s="15"/>
      <c r="H38" s="15"/>
      <c r="I38" s="15"/>
      <c r="J38" s="15"/>
      <c r="K38" s="15"/>
      <c r="L38" s="31"/>
      <c r="M38" s="29">
        <v>1.0</v>
      </c>
      <c r="N38" s="30" t="s">
        <v>27</v>
      </c>
      <c r="O38" s="33">
        <v>300000.0</v>
      </c>
      <c r="P38" s="15"/>
      <c r="Q38" s="48" t="s">
        <v>74</v>
      </c>
    </row>
    <row r="39">
      <c r="A39" s="46">
        <v>18.0</v>
      </c>
      <c r="B39" s="20" t="s">
        <v>28</v>
      </c>
      <c r="C39" s="47" t="s">
        <v>75</v>
      </c>
      <c r="D39" s="43" t="s">
        <v>76</v>
      </c>
      <c r="E39" s="35" t="s">
        <v>22</v>
      </c>
      <c r="F39" s="25" t="s">
        <v>45</v>
      </c>
      <c r="G39" s="25">
        <v>31300.0</v>
      </c>
      <c r="H39" s="25" t="str">
        <f>IF(ISBLANK(G39),,IF((G39&gt;=4000000),"Celebrity",(IF(AND(G39&lt;4000000, G39&gt;=1000000),"Mega",(IF(AND(G39&lt;1000000, G39&gt;=100000),"Macro",(IF(AND(G39&lt;100000, G39&gt;=10000),"Micro",(IF((G39&lt;10000),"Nano",("Check")))))))))))</f>
        <v>Micro</v>
      </c>
      <c r="I39" s="26">
        <f>K39/G39</f>
        <v>0.02223642173</v>
      </c>
      <c r="J39" s="27">
        <v>7700.0</v>
      </c>
      <c r="K39" s="27">
        <f>656+15+25</f>
        <v>696</v>
      </c>
      <c r="L39" s="31"/>
      <c r="M39" s="29">
        <v>1.0</v>
      </c>
      <c r="N39" s="30" t="s">
        <v>25</v>
      </c>
      <c r="O39" s="33">
        <v>1000000.0</v>
      </c>
      <c r="P39" s="23" t="s">
        <v>77</v>
      </c>
      <c r="Q39" s="48" t="s">
        <v>78</v>
      </c>
    </row>
    <row r="40">
      <c r="A40" s="15"/>
      <c r="B40" s="15"/>
      <c r="C40" s="15"/>
      <c r="D40" s="15"/>
      <c r="E40" s="15"/>
      <c r="F40" s="15"/>
      <c r="G40" s="15"/>
      <c r="H40" s="15"/>
      <c r="I40" s="15"/>
      <c r="J40" s="15"/>
      <c r="K40" s="15"/>
      <c r="L40" s="31"/>
      <c r="M40" s="29">
        <v>1.0</v>
      </c>
      <c r="N40" s="30" t="s">
        <v>27</v>
      </c>
      <c r="O40" s="33">
        <v>3800000.0</v>
      </c>
      <c r="P40" s="15"/>
      <c r="Q40" s="48" t="s">
        <v>79</v>
      </c>
    </row>
    <row r="41">
      <c r="A41" s="46">
        <v>19.0</v>
      </c>
      <c r="B41" s="20" t="s">
        <v>19</v>
      </c>
      <c r="C41" s="47" t="s">
        <v>80</v>
      </c>
      <c r="D41" s="43" t="s">
        <v>81</v>
      </c>
      <c r="E41" s="35" t="s">
        <v>22</v>
      </c>
      <c r="F41" s="25" t="s">
        <v>82</v>
      </c>
      <c r="G41" s="25">
        <v>22600.0</v>
      </c>
      <c r="H41" s="25" t="str">
        <f>IF(ISBLANK(G41),,IF((G41&gt;=4000000),"Celebrity",(IF(AND(G41&lt;4000000, G41&gt;=1000000),"Mega",(IF(AND(G41&lt;1000000, G41&gt;=100000),"Macro",(IF(AND(G41&lt;100000, G41&gt;=10000),"Micro",(IF((G41&lt;10000),"Nano",("Check")))))))))))</f>
        <v>Micro</v>
      </c>
      <c r="I41" s="26">
        <f>K41/G41</f>
        <v>0.005088495575</v>
      </c>
      <c r="J41" s="27">
        <v>3600.0</v>
      </c>
      <c r="K41" s="27">
        <f>111+2+2</f>
        <v>115</v>
      </c>
      <c r="L41" s="31"/>
      <c r="M41" s="29">
        <v>1.0</v>
      </c>
      <c r="N41" s="30" t="s">
        <v>25</v>
      </c>
      <c r="O41" s="33">
        <v>1200000.0</v>
      </c>
      <c r="P41" s="23" t="s">
        <v>83</v>
      </c>
      <c r="Q41" s="45"/>
    </row>
    <row r="42">
      <c r="A42" s="15"/>
      <c r="B42" s="15"/>
      <c r="C42" s="15"/>
      <c r="D42" s="15"/>
      <c r="E42" s="15"/>
      <c r="F42" s="15"/>
      <c r="G42" s="15"/>
      <c r="H42" s="15"/>
      <c r="I42" s="15"/>
      <c r="J42" s="15"/>
      <c r="K42" s="15"/>
      <c r="L42" s="31"/>
      <c r="M42" s="29">
        <v>1.0</v>
      </c>
      <c r="N42" s="30" t="s">
        <v>27</v>
      </c>
      <c r="O42" s="33">
        <v>2900000.0</v>
      </c>
      <c r="P42" s="15"/>
      <c r="Q42" s="33" t="s">
        <v>84</v>
      </c>
    </row>
    <row r="43">
      <c r="A43" s="46">
        <v>20.0</v>
      </c>
      <c r="B43" s="20" t="s">
        <v>28</v>
      </c>
      <c r="C43" s="50" t="s">
        <v>85</v>
      </c>
      <c r="D43" s="51" t="s">
        <v>86</v>
      </c>
      <c r="E43" s="35" t="s">
        <v>22</v>
      </c>
      <c r="F43" s="24" t="s">
        <v>87</v>
      </c>
      <c r="G43" s="25">
        <v>159700.0</v>
      </c>
      <c r="H43" s="25" t="str">
        <f>IF(ISBLANK(G43),,IF((G43&gt;=4000000),"Celebrity",(IF(AND(G43&lt;4000000, G43&gt;=1000000),"Mega",(IF(AND(G43&lt;1000000, G43&gt;=100000),"Macro",(IF(AND(G43&lt;100000, G43&gt;=10000),"Micro",(IF((G43&lt;10000),"Nano",("Check")))))))))))</f>
        <v>Macro</v>
      </c>
      <c r="I43" s="26">
        <f>K43/G43</f>
        <v>0</v>
      </c>
      <c r="J43" s="25">
        <v>37900.0</v>
      </c>
      <c r="K43" s="27"/>
      <c r="L43" s="31"/>
      <c r="M43" s="29">
        <v>1.0</v>
      </c>
      <c r="N43" s="30" t="s">
        <v>25</v>
      </c>
      <c r="O43" s="24">
        <v>8900000.0</v>
      </c>
      <c r="P43" s="23"/>
      <c r="Q43" s="45"/>
    </row>
    <row r="44">
      <c r="A44" s="15"/>
      <c r="B44" s="15"/>
      <c r="C44" s="15"/>
      <c r="D44" s="15"/>
      <c r="E44" s="15"/>
      <c r="F44" s="15"/>
      <c r="G44" s="15"/>
      <c r="H44" s="15"/>
      <c r="I44" s="15"/>
      <c r="J44" s="15"/>
      <c r="K44" s="15"/>
      <c r="L44" s="31"/>
      <c r="M44" s="29">
        <v>1.0</v>
      </c>
      <c r="N44" s="30" t="s">
        <v>27</v>
      </c>
      <c r="O44" s="15"/>
      <c r="P44" s="15"/>
      <c r="Q44" s="33"/>
    </row>
    <row r="45">
      <c r="A45" s="46">
        <v>21.0</v>
      </c>
      <c r="B45" s="20" t="s">
        <v>28</v>
      </c>
      <c r="C45" s="50" t="s">
        <v>88</v>
      </c>
      <c r="D45" s="52" t="s">
        <v>89</v>
      </c>
      <c r="E45" s="35" t="s">
        <v>22</v>
      </c>
      <c r="F45" s="24" t="s">
        <v>87</v>
      </c>
      <c r="G45" s="25">
        <v>77300.0</v>
      </c>
      <c r="H45" s="25" t="str">
        <f>IF(ISBLANK(G45),,IF((G45&gt;=4000000),"Celebrity",(IF(AND(G45&lt;4000000, G45&gt;=1000000),"Mega",(IF(AND(G45&lt;1000000, G45&gt;=100000),"Macro",(IF(AND(G45&lt;100000, G45&gt;=10000),"Micro",(IF((G45&lt;10000),"Nano",("Check")))))))))))</f>
        <v>Micro</v>
      </c>
      <c r="I45" s="26">
        <f>K45/G45</f>
        <v>0</v>
      </c>
      <c r="J45" s="25">
        <v>71500.0</v>
      </c>
      <c r="K45" s="27"/>
      <c r="L45" s="31"/>
      <c r="M45" s="29">
        <v>1.0</v>
      </c>
      <c r="N45" s="30" t="s">
        <v>25</v>
      </c>
      <c r="O45" s="33">
        <v>7600000.0</v>
      </c>
      <c r="P45" s="23"/>
      <c r="Q45" s="45"/>
    </row>
    <row r="46">
      <c r="A46" s="15"/>
      <c r="B46" s="15"/>
      <c r="C46" s="15"/>
      <c r="D46" s="15"/>
      <c r="E46" s="15"/>
      <c r="F46" s="15"/>
      <c r="G46" s="15"/>
      <c r="H46" s="15"/>
      <c r="I46" s="15"/>
      <c r="J46" s="15"/>
      <c r="K46" s="15"/>
      <c r="L46" s="31"/>
      <c r="M46" s="29">
        <v>1.0</v>
      </c>
      <c r="N46" s="30" t="s">
        <v>27</v>
      </c>
      <c r="O46" s="33"/>
      <c r="P46" s="15"/>
      <c r="Q46" s="53" t="s">
        <v>90</v>
      </c>
    </row>
    <row r="47">
      <c r="A47" s="46">
        <v>22.0</v>
      </c>
      <c r="B47" s="20" t="s">
        <v>19</v>
      </c>
      <c r="C47" s="50" t="s">
        <v>91</v>
      </c>
      <c r="D47" s="54" t="s">
        <v>92</v>
      </c>
      <c r="E47" s="35" t="s">
        <v>22</v>
      </c>
      <c r="F47" s="24" t="s">
        <v>87</v>
      </c>
      <c r="G47" s="25">
        <v>9835.0</v>
      </c>
      <c r="H47" s="25" t="str">
        <f>IF(ISBLANK(G47),,IF((G47&gt;=4000000),"Celebrity",(IF(AND(G47&lt;4000000, G47&gt;=1000000),"Mega",(IF(AND(G47&lt;1000000, G47&gt;=100000),"Macro",(IF(AND(G47&lt;100000, G47&gt;=10000),"Micro",(IF((G47&lt;10000),"Nano",("Check")))))))))))</f>
        <v>Nano</v>
      </c>
      <c r="I47" s="26">
        <f>K47/G47</f>
        <v>0</v>
      </c>
      <c r="J47" s="25">
        <v>2350.0</v>
      </c>
      <c r="K47" s="27"/>
      <c r="L47" s="31"/>
      <c r="M47" s="29">
        <v>1.0</v>
      </c>
      <c r="N47" s="30" t="s">
        <v>25</v>
      </c>
      <c r="O47" s="24">
        <v>2400000.0</v>
      </c>
      <c r="P47" s="23"/>
      <c r="Q47" s="45"/>
    </row>
    <row r="48">
      <c r="A48" s="15"/>
      <c r="B48" s="15"/>
      <c r="C48" s="15"/>
      <c r="D48" s="15"/>
      <c r="E48" s="15"/>
      <c r="F48" s="15"/>
      <c r="G48" s="15"/>
      <c r="H48" s="15"/>
      <c r="I48" s="15"/>
      <c r="J48" s="15"/>
      <c r="K48" s="15"/>
      <c r="L48" s="31"/>
      <c r="M48" s="29">
        <v>1.0</v>
      </c>
      <c r="N48" s="30" t="s">
        <v>27</v>
      </c>
      <c r="O48" s="15"/>
      <c r="P48" s="15"/>
      <c r="Q48" s="53"/>
    </row>
    <row r="49">
      <c r="A49" s="46">
        <v>23.0</v>
      </c>
      <c r="B49" s="20" t="s">
        <v>28</v>
      </c>
      <c r="C49" s="50" t="s">
        <v>93</v>
      </c>
      <c r="D49" s="54" t="s">
        <v>94</v>
      </c>
      <c r="E49" s="35" t="s">
        <v>22</v>
      </c>
      <c r="F49" s="24" t="s">
        <v>87</v>
      </c>
      <c r="G49" s="25">
        <v>12600.0</v>
      </c>
      <c r="H49" s="25" t="str">
        <f>IF(ISBLANK(G49),,IF((G49&gt;=4000000),"Celebrity",(IF(AND(G49&lt;4000000, G49&gt;=1000000),"Mega",(IF(AND(G49&lt;1000000, G49&gt;=100000),"Macro",(IF(AND(G49&lt;100000, G49&gt;=10000),"Micro",(IF((G49&lt;10000),"Nano",("Check")))))))))))</f>
        <v>Micro</v>
      </c>
      <c r="I49" s="26">
        <f>K49/G49</f>
        <v>0</v>
      </c>
      <c r="J49" s="25">
        <v>2700.0</v>
      </c>
      <c r="K49" s="27"/>
      <c r="L49" s="31"/>
      <c r="M49" s="29">
        <v>1.0</v>
      </c>
      <c r="N49" s="30" t="s">
        <v>25</v>
      </c>
      <c r="O49" s="24">
        <v>1900000.0</v>
      </c>
      <c r="P49" s="23"/>
      <c r="Q49" s="45"/>
    </row>
    <row r="50">
      <c r="A50" s="15"/>
      <c r="B50" s="15"/>
      <c r="C50" s="15"/>
      <c r="D50" s="15"/>
      <c r="E50" s="15"/>
      <c r="F50" s="15"/>
      <c r="G50" s="15"/>
      <c r="H50" s="15"/>
      <c r="I50" s="15"/>
      <c r="J50" s="15"/>
      <c r="K50" s="15"/>
      <c r="L50" s="31"/>
      <c r="M50" s="29">
        <v>1.0</v>
      </c>
      <c r="N50" s="30" t="s">
        <v>27</v>
      </c>
      <c r="O50" s="15"/>
      <c r="P50" s="15"/>
      <c r="Q50" s="53"/>
    </row>
    <row r="51">
      <c r="A51" s="46">
        <v>24.0</v>
      </c>
      <c r="B51" s="20" t="s">
        <v>28</v>
      </c>
      <c r="C51" s="50" t="s">
        <v>95</v>
      </c>
      <c r="D51" s="54" t="s">
        <v>96</v>
      </c>
      <c r="E51" s="35" t="s">
        <v>22</v>
      </c>
      <c r="F51" s="24" t="s">
        <v>87</v>
      </c>
      <c r="G51" s="25">
        <v>155100.0</v>
      </c>
      <c r="H51" s="25" t="str">
        <f>IF(ISBLANK(G51),,IF((G51&gt;=4000000),"Celebrity",(IF(AND(G51&lt;4000000, G51&gt;=1000000),"Mega",(IF(AND(G51&lt;1000000, G51&gt;=100000),"Macro",(IF(AND(G51&lt;100000, G51&gt;=10000),"Micro",(IF((G51&lt;10000),"Nano",("Check")))))))))))</f>
        <v>Macro</v>
      </c>
      <c r="I51" s="26">
        <f>K51/G51</f>
        <v>0</v>
      </c>
      <c r="J51" s="25">
        <v>40300.0</v>
      </c>
      <c r="K51" s="27"/>
      <c r="L51" s="31"/>
      <c r="M51" s="29">
        <v>1.0</v>
      </c>
      <c r="N51" s="30" t="s">
        <v>25</v>
      </c>
      <c r="O51" s="33">
        <v>1400000.0</v>
      </c>
      <c r="P51" s="23"/>
      <c r="Q51" s="53"/>
    </row>
    <row r="52">
      <c r="A52" s="15"/>
      <c r="B52" s="15"/>
      <c r="C52" s="15"/>
      <c r="D52" s="15"/>
      <c r="E52" s="15"/>
      <c r="F52" s="15"/>
      <c r="G52" s="15"/>
      <c r="H52" s="15"/>
      <c r="I52" s="15"/>
      <c r="J52" s="15"/>
      <c r="K52" s="15"/>
      <c r="L52" s="31"/>
      <c r="M52" s="29">
        <v>1.0</v>
      </c>
      <c r="N52" s="30" t="s">
        <v>27</v>
      </c>
      <c r="O52" s="33"/>
      <c r="P52" s="15"/>
      <c r="Q52" s="53" t="s">
        <v>90</v>
      </c>
    </row>
    <row r="53">
      <c r="A53" s="46">
        <v>25.0</v>
      </c>
      <c r="B53" s="20" t="s">
        <v>39</v>
      </c>
      <c r="C53" s="50" t="s">
        <v>97</v>
      </c>
      <c r="D53" s="55" t="s">
        <v>98</v>
      </c>
      <c r="E53" s="35" t="s">
        <v>22</v>
      </c>
      <c r="F53" s="24" t="s">
        <v>45</v>
      </c>
      <c r="G53" s="56">
        <v>50200.0</v>
      </c>
      <c r="H53" s="25" t="str">
        <f>IF(ISBLANK(G53),,IF((G53&gt;=4000000),"Celebrity",(IF(AND(G53&lt;4000000, G53&gt;=1000000),"Mega",(IF(AND(G53&lt;1000000, G53&gt;=100000),"Macro",(IF(AND(G53&lt;100000, G53&gt;=10000),"Micro",(IF((G53&lt;10000),"Nano",("Check")))))))))))</f>
        <v>Micro</v>
      </c>
      <c r="I53" s="26">
        <f>K53/G53</f>
        <v>0</v>
      </c>
      <c r="J53" s="27">
        <v>3606.0</v>
      </c>
      <c r="K53" s="27"/>
      <c r="L53" s="31"/>
      <c r="M53" s="29">
        <v>1.0</v>
      </c>
      <c r="N53" s="30" t="s">
        <v>25</v>
      </c>
      <c r="O53" s="24"/>
      <c r="P53" s="23"/>
      <c r="Q53" s="45"/>
    </row>
    <row r="54">
      <c r="A54" s="15"/>
      <c r="B54" s="15"/>
      <c r="C54" s="15"/>
      <c r="D54" s="15"/>
      <c r="E54" s="15"/>
      <c r="F54" s="15"/>
      <c r="G54" s="15"/>
      <c r="H54" s="15"/>
      <c r="I54" s="15"/>
      <c r="J54" s="15"/>
      <c r="K54" s="15"/>
      <c r="L54" s="31"/>
      <c r="M54" s="29">
        <v>1.0</v>
      </c>
      <c r="N54" s="30" t="s">
        <v>27</v>
      </c>
      <c r="O54" s="15"/>
      <c r="P54" s="15"/>
      <c r="Q54" s="33"/>
    </row>
    <row r="55">
      <c r="A55" s="46">
        <v>26.0</v>
      </c>
      <c r="B55" s="20" t="s">
        <v>28</v>
      </c>
      <c r="C55" s="50" t="s">
        <v>99</v>
      </c>
      <c r="D55" s="55" t="s">
        <v>100</v>
      </c>
      <c r="E55" s="35" t="s">
        <v>22</v>
      </c>
      <c r="F55" s="24" t="s">
        <v>45</v>
      </c>
      <c r="G55" s="56">
        <v>44000.0</v>
      </c>
      <c r="H55" s="25" t="str">
        <f>IF(ISBLANK(G55),,IF((G55&gt;=4000000),"Celebrity",(IF(AND(G55&lt;4000000, G55&gt;=1000000),"Mega",(IF(AND(G55&lt;1000000, G55&gt;=100000),"Macro",(IF(AND(G55&lt;100000, G55&gt;=10000),"Micro",(IF((G55&lt;10000),"Nano",("Check")))))))))))</f>
        <v>Micro</v>
      </c>
      <c r="I55" s="26">
        <f>J55/G55</f>
        <v>0.1329545455</v>
      </c>
      <c r="J55" s="25">
        <v>5850.0</v>
      </c>
      <c r="K55" s="27"/>
      <c r="L55" s="31"/>
      <c r="M55" s="29">
        <v>1.0</v>
      </c>
      <c r="N55" s="30" t="s">
        <v>25</v>
      </c>
      <c r="O55" s="24">
        <v>700000.0</v>
      </c>
      <c r="P55" s="23"/>
      <c r="Q55" s="45"/>
    </row>
    <row r="56">
      <c r="A56" s="15"/>
      <c r="B56" s="15"/>
      <c r="C56" s="15"/>
      <c r="D56" s="15"/>
      <c r="E56" s="15"/>
      <c r="F56" s="15"/>
      <c r="G56" s="15"/>
      <c r="H56" s="15"/>
      <c r="I56" s="15"/>
      <c r="J56" s="15"/>
      <c r="K56" s="15"/>
      <c r="L56" s="31"/>
      <c r="M56" s="29">
        <v>1.0</v>
      </c>
      <c r="N56" s="30" t="s">
        <v>27</v>
      </c>
      <c r="O56" s="15"/>
      <c r="P56" s="15"/>
      <c r="Q56" s="53" t="s">
        <v>90</v>
      </c>
    </row>
    <row r="57">
      <c r="A57" s="46">
        <v>27.0</v>
      </c>
      <c r="B57" s="20" t="s">
        <v>39</v>
      </c>
      <c r="C57" s="50" t="s">
        <v>101</v>
      </c>
      <c r="D57" s="55" t="s">
        <v>102</v>
      </c>
      <c r="E57" s="35" t="s">
        <v>22</v>
      </c>
      <c r="F57" s="24" t="s">
        <v>45</v>
      </c>
      <c r="G57" s="25">
        <v>31000.0</v>
      </c>
      <c r="H57" s="25" t="str">
        <f>IF(ISBLANK(G57),,IF((G57&gt;=4000000),"Celebrity",(IF(AND(G57&lt;4000000, G57&gt;=1000000),"Mega",(IF(AND(G57&lt;1000000, G57&gt;=100000),"Macro",(IF(AND(G57&lt;100000, G57&gt;=10000),"Micro",(IF((G57&lt;10000),"Nano",("Check")))))))))))</f>
        <v>Micro</v>
      </c>
      <c r="I57" s="26">
        <f>J57/G57</f>
        <v>0</v>
      </c>
      <c r="J57" s="27"/>
      <c r="K57" s="27"/>
      <c r="L57" s="31"/>
      <c r="M57" s="29">
        <v>1.0</v>
      </c>
      <c r="N57" s="30" t="s">
        <v>25</v>
      </c>
      <c r="O57" s="24"/>
      <c r="P57" s="23"/>
      <c r="Q57" s="45"/>
    </row>
    <row r="58">
      <c r="A58" s="15"/>
      <c r="B58" s="15"/>
      <c r="C58" s="15"/>
      <c r="D58" s="15"/>
      <c r="E58" s="15"/>
      <c r="F58" s="15"/>
      <c r="G58" s="15"/>
      <c r="H58" s="15"/>
      <c r="I58" s="15"/>
      <c r="J58" s="15"/>
      <c r="K58" s="15"/>
      <c r="L58" s="31"/>
      <c r="M58" s="29">
        <v>1.0</v>
      </c>
      <c r="N58" s="30" t="s">
        <v>27</v>
      </c>
      <c r="O58" s="15"/>
      <c r="P58" s="15"/>
      <c r="Q58" s="33"/>
    </row>
    <row r="59">
      <c r="A59" s="46">
        <v>28.0</v>
      </c>
      <c r="B59" s="20" t="s">
        <v>39</v>
      </c>
      <c r="C59" s="50" t="s">
        <v>103</v>
      </c>
      <c r="D59" s="55" t="s">
        <v>104</v>
      </c>
      <c r="E59" s="35" t="s">
        <v>22</v>
      </c>
      <c r="F59" s="24" t="s">
        <v>45</v>
      </c>
      <c r="G59" s="56">
        <v>5626.0</v>
      </c>
      <c r="H59" s="25" t="str">
        <f>IF(ISBLANK(G59),,IF((G59&gt;=4000000),"Celebrity",(IF(AND(G59&lt;4000000, G59&gt;=1000000),"Mega",(IF(AND(G59&lt;1000000, G59&gt;=100000),"Macro",(IF(AND(G59&lt;100000, G59&gt;=10000),"Micro",(IF((G59&lt;10000),"Nano",("Check")))))))))))</f>
        <v>Nano</v>
      </c>
      <c r="I59" s="26">
        <f>J59/G59</f>
        <v>0</v>
      </c>
      <c r="J59" s="27"/>
      <c r="K59" s="27"/>
      <c r="L59" s="31"/>
      <c r="M59" s="29">
        <v>1.0</v>
      </c>
      <c r="N59" s="30" t="s">
        <v>25</v>
      </c>
      <c r="O59" s="24"/>
      <c r="P59" s="23"/>
      <c r="Q59" s="45"/>
    </row>
    <row r="60">
      <c r="A60" s="15"/>
      <c r="B60" s="15"/>
      <c r="C60" s="15"/>
      <c r="D60" s="15"/>
      <c r="E60" s="15"/>
      <c r="F60" s="15"/>
      <c r="G60" s="15"/>
      <c r="H60" s="15"/>
      <c r="I60" s="15"/>
      <c r="J60" s="15"/>
      <c r="K60" s="15"/>
      <c r="L60" s="31"/>
      <c r="M60" s="29">
        <v>1.0</v>
      </c>
      <c r="N60" s="30" t="s">
        <v>27</v>
      </c>
      <c r="O60" s="15"/>
      <c r="P60" s="15"/>
      <c r="Q60" s="33"/>
    </row>
    <row r="61">
      <c r="A61" s="46">
        <v>29.0</v>
      </c>
      <c r="B61" s="20" t="s">
        <v>28</v>
      </c>
      <c r="C61" s="50" t="s">
        <v>105</v>
      </c>
      <c r="D61" s="57" t="s">
        <v>106</v>
      </c>
      <c r="E61" s="35" t="s">
        <v>22</v>
      </c>
      <c r="F61" s="24" t="s">
        <v>64</v>
      </c>
      <c r="G61" s="58">
        <v>17000.0</v>
      </c>
      <c r="H61" s="25" t="str">
        <f>IF(ISBLANK(G61),,IF((G61&gt;=4000000),"Celebrity",(IF(AND(G61&lt;4000000, G61&gt;=1000000),"Mega",(IF(AND(G61&lt;1000000, G61&gt;=100000),"Macro",(IF(AND(G61&lt;100000, G61&gt;=10000),"Micro",(IF((G61&lt;10000),"Nano",("Check")))))))))))</f>
        <v>Micro</v>
      </c>
      <c r="I61" s="26">
        <f>J61/G61</f>
        <v>0.5882352941</v>
      </c>
      <c r="J61" s="58">
        <v>10000.0</v>
      </c>
      <c r="K61" s="27"/>
      <c r="L61" s="31"/>
      <c r="M61" s="29">
        <v>1.0</v>
      </c>
      <c r="N61" s="30" t="s">
        <v>25</v>
      </c>
      <c r="O61" s="24">
        <v>3800000.0</v>
      </c>
      <c r="P61" s="23"/>
      <c r="Q61" s="45"/>
    </row>
    <row r="62">
      <c r="A62" s="15"/>
      <c r="B62" s="15"/>
      <c r="C62" s="15"/>
      <c r="D62" s="15"/>
      <c r="E62" s="15"/>
      <c r="F62" s="15"/>
      <c r="G62" s="15"/>
      <c r="H62" s="15"/>
      <c r="I62" s="15"/>
      <c r="J62" s="15"/>
      <c r="K62" s="15"/>
      <c r="L62" s="31"/>
      <c r="M62" s="29">
        <v>1.0</v>
      </c>
      <c r="N62" s="30" t="s">
        <v>27</v>
      </c>
      <c r="O62" s="15"/>
      <c r="P62" s="15"/>
      <c r="Q62" s="33"/>
    </row>
    <row r="63">
      <c r="A63" s="46">
        <v>30.0</v>
      </c>
      <c r="B63" s="20" t="s">
        <v>28</v>
      </c>
      <c r="C63" s="50" t="s">
        <v>107</v>
      </c>
      <c r="D63" s="54" t="s">
        <v>108</v>
      </c>
      <c r="E63" s="35" t="s">
        <v>22</v>
      </c>
      <c r="F63" s="24" t="s">
        <v>64</v>
      </c>
      <c r="G63" s="25">
        <v>24400.0</v>
      </c>
      <c r="H63" s="25" t="str">
        <f>IF(ISBLANK(G63),,IF((G63&gt;=4000000),"Celebrity",(IF(AND(G63&lt;4000000, G63&gt;=1000000),"Mega",(IF(AND(G63&lt;1000000, G63&gt;=100000),"Macro",(IF(AND(G63&lt;100000, G63&gt;=10000),"Micro",(IF((G63&lt;10000),"Nano",("Check")))))))))))</f>
        <v>Micro</v>
      </c>
      <c r="I63" s="26">
        <f>J63/G63</f>
        <v>1.18442623</v>
      </c>
      <c r="J63" s="25">
        <v>28900.0</v>
      </c>
      <c r="K63" s="27"/>
      <c r="L63" s="31"/>
      <c r="M63" s="29">
        <v>1.0</v>
      </c>
      <c r="N63" s="30" t="s">
        <v>25</v>
      </c>
      <c r="O63" s="24">
        <v>4800000.0</v>
      </c>
      <c r="P63" s="23"/>
      <c r="Q63" s="45"/>
    </row>
    <row r="64">
      <c r="A64" s="15"/>
      <c r="B64" s="15"/>
      <c r="C64" s="15"/>
      <c r="D64" s="15"/>
      <c r="E64" s="15"/>
      <c r="F64" s="15"/>
      <c r="G64" s="15"/>
      <c r="H64" s="15"/>
      <c r="I64" s="15"/>
      <c r="J64" s="15"/>
      <c r="K64" s="15"/>
      <c r="L64" s="31"/>
      <c r="M64" s="29">
        <v>1.0</v>
      </c>
      <c r="N64" s="30" t="s">
        <v>27</v>
      </c>
      <c r="O64" s="15"/>
      <c r="P64" s="15"/>
      <c r="Q64" s="33"/>
    </row>
    <row r="65">
      <c r="A65" s="46">
        <v>31.0</v>
      </c>
      <c r="B65" s="20" t="s">
        <v>39</v>
      </c>
      <c r="C65" s="50" t="s">
        <v>109</v>
      </c>
      <c r="D65" s="54" t="s">
        <v>110</v>
      </c>
      <c r="E65" s="35" t="s">
        <v>22</v>
      </c>
      <c r="F65" s="24" t="s">
        <v>64</v>
      </c>
      <c r="G65" s="25">
        <v>226600.0</v>
      </c>
      <c r="H65" s="25" t="str">
        <f>IF(ISBLANK(G65),,IF((G65&gt;=4000000),"Celebrity",(IF(AND(G65&lt;4000000, G65&gt;=1000000),"Mega",(IF(AND(G65&lt;1000000, G65&gt;=100000),"Macro",(IF(AND(G65&lt;100000, G65&gt;=10000),"Micro",(IF((G65&lt;10000),"Nano",("Check")))))))))))</f>
        <v>Macro</v>
      </c>
      <c r="I65" s="26">
        <f>J65/G65</f>
        <v>0</v>
      </c>
      <c r="J65" s="27"/>
      <c r="K65" s="27"/>
      <c r="L65" s="31"/>
      <c r="M65" s="29">
        <v>1.0</v>
      </c>
      <c r="N65" s="30" t="s">
        <v>25</v>
      </c>
      <c r="O65" s="24"/>
      <c r="P65" s="23"/>
      <c r="Q65" s="45"/>
    </row>
    <row r="66">
      <c r="A66" s="15"/>
      <c r="B66" s="15"/>
      <c r="C66" s="15"/>
      <c r="D66" s="15"/>
      <c r="E66" s="15"/>
      <c r="F66" s="15"/>
      <c r="G66" s="15"/>
      <c r="H66" s="15"/>
      <c r="I66" s="15"/>
      <c r="J66" s="15"/>
      <c r="K66" s="15"/>
      <c r="L66" s="31"/>
      <c r="M66" s="29">
        <v>1.0</v>
      </c>
      <c r="N66" s="30" t="s">
        <v>27</v>
      </c>
      <c r="O66" s="15"/>
      <c r="P66" s="15"/>
      <c r="Q66" s="33"/>
    </row>
    <row r="67">
      <c r="A67" s="46">
        <v>32.0</v>
      </c>
      <c r="B67" s="20" t="s">
        <v>39</v>
      </c>
      <c r="C67" s="50" t="s">
        <v>111</v>
      </c>
      <c r="D67" s="54" t="s">
        <v>112</v>
      </c>
      <c r="E67" s="35" t="s">
        <v>22</v>
      </c>
      <c r="F67" s="24" t="s">
        <v>64</v>
      </c>
      <c r="G67" s="25">
        <v>670400.0</v>
      </c>
      <c r="H67" s="25" t="str">
        <f>IF(ISBLANK(G67),,IF((G67&gt;=4000000),"Celebrity",(IF(AND(G67&lt;4000000, G67&gt;=1000000),"Mega",(IF(AND(G67&lt;1000000, G67&gt;=100000),"Macro",(IF(AND(G67&lt;100000, G67&gt;=10000),"Micro",(IF((G67&lt;10000),"Nano",("Check")))))))))))</f>
        <v>Macro</v>
      </c>
      <c r="I67" s="26">
        <f>J67/G67</f>
        <v>0</v>
      </c>
      <c r="J67" s="27"/>
      <c r="K67" s="27"/>
      <c r="L67" s="31"/>
      <c r="M67" s="29">
        <v>1.0</v>
      </c>
      <c r="N67" s="30" t="s">
        <v>25</v>
      </c>
      <c r="O67" s="24"/>
      <c r="P67" s="23"/>
      <c r="Q67" s="45"/>
    </row>
    <row r="68">
      <c r="A68" s="15"/>
      <c r="B68" s="15"/>
      <c r="C68" s="15"/>
      <c r="D68" s="15"/>
      <c r="E68" s="15"/>
      <c r="F68" s="15"/>
      <c r="G68" s="15"/>
      <c r="H68" s="15"/>
      <c r="I68" s="15"/>
      <c r="J68" s="15"/>
      <c r="K68" s="15"/>
      <c r="L68" s="31"/>
      <c r="M68" s="29">
        <v>1.0</v>
      </c>
      <c r="N68" s="30" t="s">
        <v>27</v>
      </c>
      <c r="O68" s="15"/>
      <c r="P68" s="15"/>
      <c r="Q68" s="33"/>
    </row>
    <row r="69">
      <c r="A69" s="46">
        <v>33.0</v>
      </c>
      <c r="B69" s="20" t="s">
        <v>28</v>
      </c>
      <c r="C69" s="50" t="s">
        <v>113</v>
      </c>
      <c r="D69" s="54" t="s">
        <v>114</v>
      </c>
      <c r="E69" s="35" t="s">
        <v>22</v>
      </c>
      <c r="F69" s="24" t="s">
        <v>64</v>
      </c>
      <c r="G69" s="25">
        <v>1538.0</v>
      </c>
      <c r="H69" s="25" t="str">
        <f>IF(ISBLANK(G69),,IF((G69&gt;=4000000),"Celebrity",(IF(AND(G69&lt;4000000, G69&gt;=1000000),"Mega",(IF(AND(G69&lt;1000000, G69&gt;=100000),"Macro",(IF(AND(G69&lt;100000, G69&gt;=10000),"Micro",(IF((G69&lt;10000),"Nano",("Check")))))))))))</f>
        <v>Nano</v>
      </c>
      <c r="I69" s="26">
        <f>J69/G69</f>
        <v>0.7672301691</v>
      </c>
      <c r="J69" s="25">
        <v>1180.0</v>
      </c>
      <c r="K69" s="27"/>
      <c r="L69" s="31"/>
      <c r="M69" s="29">
        <v>1.0</v>
      </c>
      <c r="N69" s="30" t="s">
        <v>25</v>
      </c>
      <c r="O69" s="24">
        <v>1700000.0</v>
      </c>
      <c r="P69" s="23"/>
      <c r="Q69" s="45"/>
    </row>
    <row r="70">
      <c r="A70" s="15"/>
      <c r="B70" s="15"/>
      <c r="C70" s="15"/>
      <c r="D70" s="15"/>
      <c r="E70" s="15"/>
      <c r="F70" s="15"/>
      <c r="G70" s="15"/>
      <c r="H70" s="15"/>
      <c r="I70" s="15"/>
      <c r="J70" s="15"/>
      <c r="K70" s="15"/>
      <c r="L70" s="15"/>
      <c r="M70" s="29">
        <v>1.0</v>
      </c>
      <c r="N70" s="30" t="s">
        <v>27</v>
      </c>
      <c r="O70" s="15"/>
      <c r="P70" s="15"/>
      <c r="Q70" s="33"/>
    </row>
    <row r="71">
      <c r="A71" s="59"/>
      <c r="B71" s="60"/>
      <c r="C71" s="60"/>
      <c r="D71" s="61"/>
      <c r="E71" s="59"/>
      <c r="F71" s="59"/>
      <c r="G71" s="59"/>
      <c r="H71" s="59"/>
      <c r="I71" s="59"/>
      <c r="J71" s="59"/>
      <c r="K71" s="59"/>
      <c r="L71" s="59"/>
      <c r="M71" s="59"/>
      <c r="N71" s="59"/>
      <c r="O71" s="59"/>
      <c r="P71" s="62"/>
      <c r="Q71" s="62"/>
    </row>
    <row r="72">
      <c r="A72" s="59"/>
      <c r="B72" s="60"/>
      <c r="C72" s="60"/>
      <c r="D72" s="61"/>
      <c r="E72" s="59"/>
      <c r="F72" s="59"/>
      <c r="G72" s="59"/>
      <c r="H72" s="59"/>
      <c r="I72" s="59"/>
      <c r="J72" s="59"/>
      <c r="K72" s="59"/>
      <c r="L72" s="59"/>
      <c r="M72" s="59"/>
      <c r="N72" s="59"/>
      <c r="O72" s="59"/>
      <c r="P72" s="62"/>
      <c r="Q72" s="62"/>
    </row>
    <row r="73">
      <c r="A73" s="59"/>
      <c r="B73" s="60"/>
      <c r="C73" s="60"/>
      <c r="D73" s="61"/>
      <c r="E73" s="59"/>
      <c r="F73" s="59"/>
      <c r="G73" s="59"/>
      <c r="H73" s="59"/>
      <c r="I73" s="59"/>
      <c r="J73" s="59"/>
      <c r="K73" s="59"/>
      <c r="L73" s="59"/>
      <c r="M73" s="59"/>
      <c r="N73" s="59"/>
      <c r="O73" s="59"/>
      <c r="P73" s="62"/>
      <c r="Q73" s="62"/>
    </row>
    <row r="74">
      <c r="A74" s="59"/>
      <c r="B74" s="60"/>
      <c r="C74" s="60"/>
      <c r="D74" s="61"/>
      <c r="E74" s="59"/>
      <c r="F74" s="59"/>
      <c r="G74" s="59"/>
      <c r="H74" s="59"/>
      <c r="I74" s="59"/>
      <c r="J74" s="59"/>
      <c r="K74" s="59"/>
      <c r="L74" s="59"/>
      <c r="M74" s="59"/>
      <c r="N74" s="59"/>
      <c r="O74" s="59"/>
      <c r="P74" s="62"/>
      <c r="Q74" s="62"/>
    </row>
    <row r="75">
      <c r="A75" s="59"/>
      <c r="B75" s="60"/>
      <c r="C75" s="60"/>
      <c r="D75" s="61"/>
      <c r="E75" s="59"/>
      <c r="F75" s="59"/>
      <c r="G75" s="59"/>
      <c r="H75" s="59"/>
      <c r="I75" s="59"/>
      <c r="J75" s="59"/>
      <c r="K75" s="59"/>
      <c r="L75" s="59"/>
      <c r="M75" s="59"/>
      <c r="N75" s="59"/>
      <c r="O75" s="59"/>
      <c r="P75" s="62"/>
      <c r="Q75" s="62"/>
    </row>
    <row r="76">
      <c r="A76" s="59"/>
      <c r="B76" s="60"/>
      <c r="C76" s="60"/>
      <c r="D76" s="61"/>
      <c r="E76" s="59"/>
      <c r="F76" s="59"/>
      <c r="G76" s="59"/>
      <c r="H76" s="59"/>
      <c r="I76" s="59"/>
      <c r="J76" s="59"/>
      <c r="K76" s="59"/>
      <c r="L76" s="59"/>
      <c r="M76" s="59"/>
      <c r="N76" s="59"/>
      <c r="O76" s="59"/>
      <c r="P76" s="62"/>
      <c r="Q76" s="62"/>
    </row>
    <row r="77">
      <c r="A77" s="59"/>
      <c r="B77" s="60"/>
      <c r="C77" s="60"/>
      <c r="D77" s="61"/>
      <c r="E77" s="59"/>
      <c r="F77" s="59"/>
      <c r="G77" s="59"/>
      <c r="H77" s="59"/>
      <c r="I77" s="59"/>
      <c r="J77" s="59"/>
      <c r="K77" s="59"/>
      <c r="L77" s="59"/>
      <c r="M77" s="59"/>
      <c r="N77" s="59"/>
      <c r="O77" s="59"/>
      <c r="P77" s="62"/>
      <c r="Q77" s="62"/>
    </row>
    <row r="78">
      <c r="A78" s="59"/>
      <c r="B78" s="60"/>
      <c r="C78" s="60"/>
      <c r="D78" s="61"/>
      <c r="E78" s="59"/>
      <c r="F78" s="59"/>
      <c r="G78" s="59"/>
      <c r="H78" s="59"/>
      <c r="I78" s="59"/>
      <c r="J78" s="59"/>
      <c r="K78" s="59"/>
      <c r="L78" s="59"/>
      <c r="M78" s="59"/>
      <c r="N78" s="59"/>
      <c r="O78" s="59"/>
      <c r="P78" s="62"/>
      <c r="Q78" s="62"/>
    </row>
    <row r="79">
      <c r="A79" s="59"/>
      <c r="B79" s="60"/>
      <c r="C79" s="60"/>
      <c r="D79" s="61"/>
      <c r="E79" s="59"/>
      <c r="F79" s="59"/>
      <c r="G79" s="59"/>
      <c r="H79" s="59"/>
      <c r="I79" s="59"/>
      <c r="J79" s="59"/>
      <c r="K79" s="59"/>
      <c r="L79" s="59"/>
      <c r="M79" s="59"/>
      <c r="N79" s="59"/>
      <c r="O79" s="59"/>
      <c r="P79" s="62"/>
      <c r="Q79" s="62"/>
    </row>
    <row r="80">
      <c r="A80" s="59"/>
      <c r="B80" s="60"/>
      <c r="C80" s="60"/>
      <c r="D80" s="61"/>
      <c r="E80" s="59"/>
      <c r="F80" s="59"/>
      <c r="G80" s="59"/>
      <c r="H80" s="59"/>
      <c r="I80" s="59"/>
      <c r="J80" s="59"/>
      <c r="K80" s="59"/>
      <c r="L80" s="59"/>
      <c r="M80" s="59"/>
      <c r="N80" s="59"/>
      <c r="O80" s="59"/>
      <c r="P80" s="62"/>
      <c r="Q80" s="62"/>
    </row>
    <row r="81">
      <c r="A81" s="59"/>
      <c r="B81" s="60"/>
      <c r="C81" s="60"/>
      <c r="D81" s="61"/>
      <c r="E81" s="59"/>
      <c r="F81" s="59"/>
      <c r="G81" s="59"/>
      <c r="H81" s="59"/>
      <c r="I81" s="59"/>
      <c r="J81" s="59"/>
      <c r="K81" s="59"/>
      <c r="L81" s="59"/>
      <c r="M81" s="59"/>
      <c r="N81" s="59"/>
      <c r="O81" s="59"/>
      <c r="P81" s="62"/>
      <c r="Q81" s="62"/>
    </row>
    <row r="82">
      <c r="A82" s="59"/>
      <c r="B82" s="60"/>
      <c r="C82" s="60"/>
      <c r="D82" s="61"/>
      <c r="E82" s="59"/>
      <c r="F82" s="59"/>
      <c r="G82" s="59"/>
      <c r="H82" s="59"/>
      <c r="I82" s="59"/>
      <c r="J82" s="59"/>
      <c r="K82" s="59"/>
      <c r="L82" s="59"/>
      <c r="M82" s="59"/>
      <c r="N82" s="59"/>
      <c r="O82" s="59"/>
      <c r="P82" s="62"/>
      <c r="Q82" s="62"/>
    </row>
    <row r="83">
      <c r="A83" s="59"/>
      <c r="B83" s="60"/>
      <c r="C83" s="60"/>
      <c r="D83" s="61"/>
      <c r="E83" s="59"/>
      <c r="F83" s="59"/>
      <c r="G83" s="59"/>
      <c r="H83" s="59"/>
      <c r="I83" s="59"/>
      <c r="J83" s="59"/>
      <c r="K83" s="59"/>
      <c r="L83" s="59"/>
      <c r="M83" s="59"/>
      <c r="N83" s="59"/>
      <c r="O83" s="59"/>
      <c r="P83" s="62"/>
      <c r="Q83" s="62"/>
    </row>
    <row r="84">
      <c r="A84" s="59"/>
      <c r="B84" s="60"/>
      <c r="C84" s="60"/>
      <c r="D84" s="61"/>
      <c r="E84" s="59"/>
      <c r="F84" s="59"/>
      <c r="G84" s="59"/>
      <c r="H84" s="59"/>
      <c r="I84" s="59"/>
      <c r="J84" s="59"/>
      <c r="K84" s="59"/>
      <c r="L84" s="59"/>
      <c r="M84" s="59"/>
      <c r="N84" s="59"/>
      <c r="O84" s="59"/>
      <c r="P84" s="62"/>
      <c r="Q84" s="62"/>
    </row>
    <row r="85">
      <c r="A85" s="59"/>
      <c r="B85" s="60"/>
      <c r="C85" s="60"/>
      <c r="D85" s="61"/>
      <c r="E85" s="59"/>
      <c r="F85" s="59"/>
      <c r="G85" s="59"/>
      <c r="H85" s="59"/>
      <c r="I85" s="59"/>
      <c r="J85" s="59"/>
      <c r="K85" s="59"/>
      <c r="L85" s="59"/>
      <c r="M85" s="59"/>
      <c r="N85" s="59"/>
      <c r="O85" s="59"/>
      <c r="P85" s="62"/>
      <c r="Q85" s="62"/>
    </row>
    <row r="86">
      <c r="A86" s="59"/>
      <c r="B86" s="60"/>
      <c r="C86" s="60"/>
      <c r="D86" s="61"/>
      <c r="E86" s="59"/>
      <c r="F86" s="59"/>
      <c r="G86" s="59"/>
      <c r="H86" s="59"/>
      <c r="I86" s="59"/>
      <c r="J86" s="59"/>
      <c r="K86" s="59"/>
      <c r="L86" s="59"/>
      <c r="M86" s="59"/>
      <c r="N86" s="59"/>
      <c r="O86" s="59"/>
      <c r="P86" s="62"/>
      <c r="Q86" s="62"/>
    </row>
    <row r="87">
      <c r="A87" s="59"/>
      <c r="B87" s="60"/>
      <c r="C87" s="60"/>
      <c r="D87" s="61"/>
      <c r="E87" s="59"/>
      <c r="F87" s="59"/>
      <c r="G87" s="59"/>
      <c r="H87" s="59"/>
      <c r="I87" s="59"/>
      <c r="J87" s="59"/>
      <c r="K87" s="59"/>
      <c r="L87" s="59"/>
      <c r="M87" s="59"/>
      <c r="N87" s="59"/>
      <c r="O87" s="59"/>
      <c r="P87" s="62"/>
      <c r="Q87" s="62"/>
    </row>
    <row r="88">
      <c r="A88" s="59"/>
      <c r="B88" s="60"/>
      <c r="C88" s="60"/>
      <c r="D88" s="61"/>
      <c r="E88" s="59"/>
      <c r="F88" s="59"/>
      <c r="G88" s="59"/>
      <c r="H88" s="59"/>
      <c r="I88" s="59"/>
      <c r="J88" s="59"/>
      <c r="K88" s="59"/>
      <c r="L88" s="59"/>
      <c r="M88" s="59"/>
      <c r="N88" s="59"/>
      <c r="O88" s="59"/>
      <c r="P88" s="62"/>
      <c r="Q88" s="62"/>
    </row>
    <row r="89">
      <c r="A89" s="59"/>
      <c r="B89" s="60"/>
      <c r="C89" s="60"/>
      <c r="D89" s="61"/>
      <c r="E89" s="59"/>
      <c r="F89" s="59"/>
      <c r="G89" s="59"/>
      <c r="H89" s="59"/>
      <c r="I89" s="59"/>
      <c r="J89" s="59"/>
      <c r="K89" s="59"/>
      <c r="L89" s="59"/>
      <c r="M89" s="59"/>
      <c r="N89" s="59"/>
      <c r="O89" s="59"/>
      <c r="P89" s="62"/>
      <c r="Q89" s="62"/>
    </row>
    <row r="90">
      <c r="A90" s="59"/>
      <c r="B90" s="60"/>
      <c r="C90" s="60"/>
      <c r="D90" s="61"/>
      <c r="E90" s="59"/>
      <c r="F90" s="59"/>
      <c r="G90" s="59"/>
      <c r="H90" s="59"/>
      <c r="I90" s="59"/>
      <c r="J90" s="59"/>
      <c r="K90" s="59"/>
      <c r="L90" s="59"/>
      <c r="M90" s="59"/>
      <c r="N90" s="59"/>
      <c r="O90" s="59"/>
      <c r="P90" s="62"/>
      <c r="Q90" s="62"/>
    </row>
    <row r="91">
      <c r="A91" s="59"/>
      <c r="B91" s="60"/>
      <c r="C91" s="60"/>
      <c r="D91" s="61"/>
      <c r="E91" s="59"/>
      <c r="F91" s="59"/>
      <c r="G91" s="59"/>
      <c r="H91" s="59"/>
      <c r="I91" s="59"/>
      <c r="J91" s="59"/>
      <c r="K91" s="59"/>
      <c r="L91" s="59"/>
      <c r="M91" s="59"/>
      <c r="N91" s="59"/>
      <c r="O91" s="59"/>
      <c r="P91" s="62"/>
      <c r="Q91" s="62"/>
    </row>
    <row r="92">
      <c r="A92" s="59"/>
      <c r="B92" s="60"/>
      <c r="C92" s="60"/>
      <c r="D92" s="61"/>
      <c r="E92" s="59"/>
      <c r="F92" s="59"/>
      <c r="G92" s="59"/>
      <c r="H92" s="59"/>
      <c r="I92" s="59"/>
      <c r="J92" s="59"/>
      <c r="K92" s="59"/>
      <c r="L92" s="59"/>
      <c r="M92" s="59"/>
      <c r="N92" s="59"/>
      <c r="O92" s="59"/>
      <c r="P92" s="62"/>
      <c r="Q92" s="62"/>
    </row>
    <row r="93">
      <c r="A93" s="59"/>
      <c r="B93" s="60"/>
      <c r="C93" s="60"/>
      <c r="D93" s="61"/>
      <c r="E93" s="59"/>
      <c r="F93" s="59"/>
      <c r="G93" s="59"/>
      <c r="H93" s="59"/>
      <c r="I93" s="59"/>
      <c r="J93" s="59"/>
      <c r="K93" s="59"/>
      <c r="L93" s="59"/>
      <c r="M93" s="59"/>
      <c r="N93" s="59"/>
      <c r="O93" s="59"/>
      <c r="P93" s="62"/>
      <c r="Q93" s="62"/>
    </row>
    <row r="94">
      <c r="A94" s="59"/>
      <c r="B94" s="60"/>
      <c r="C94" s="60"/>
      <c r="D94" s="61"/>
      <c r="E94" s="59"/>
      <c r="F94" s="59"/>
      <c r="G94" s="59"/>
      <c r="H94" s="59"/>
      <c r="I94" s="59"/>
      <c r="J94" s="59"/>
      <c r="K94" s="59"/>
      <c r="L94" s="59"/>
      <c r="M94" s="59"/>
      <c r="N94" s="59"/>
      <c r="O94" s="59"/>
      <c r="P94" s="62"/>
      <c r="Q94" s="62"/>
    </row>
    <row r="95">
      <c r="A95" s="59"/>
      <c r="B95" s="60"/>
      <c r="C95" s="60"/>
      <c r="D95" s="61"/>
      <c r="E95" s="59"/>
      <c r="F95" s="59"/>
      <c r="G95" s="59"/>
      <c r="H95" s="59"/>
      <c r="I95" s="59"/>
      <c r="J95" s="59"/>
      <c r="K95" s="59"/>
      <c r="L95" s="59"/>
      <c r="M95" s="59"/>
      <c r="N95" s="59"/>
      <c r="O95" s="59"/>
      <c r="P95" s="62"/>
      <c r="Q95" s="62"/>
    </row>
    <row r="96">
      <c r="A96" s="59"/>
      <c r="B96" s="60"/>
      <c r="C96" s="60"/>
      <c r="D96" s="61"/>
      <c r="E96" s="59"/>
      <c r="F96" s="59"/>
      <c r="G96" s="59"/>
      <c r="H96" s="59"/>
      <c r="I96" s="59"/>
      <c r="J96" s="59"/>
      <c r="K96" s="59"/>
      <c r="L96" s="59"/>
      <c r="M96" s="59"/>
      <c r="N96" s="59"/>
      <c r="O96" s="59"/>
      <c r="P96" s="62"/>
      <c r="Q96" s="62"/>
    </row>
    <row r="97">
      <c r="A97" s="59"/>
      <c r="B97" s="60"/>
      <c r="C97" s="60"/>
      <c r="D97" s="61"/>
      <c r="E97" s="59"/>
      <c r="F97" s="59"/>
      <c r="G97" s="59"/>
      <c r="H97" s="59"/>
      <c r="I97" s="59"/>
      <c r="J97" s="59"/>
      <c r="K97" s="59"/>
      <c r="L97" s="59"/>
      <c r="M97" s="59"/>
      <c r="N97" s="59"/>
      <c r="O97" s="59"/>
      <c r="P97" s="62"/>
      <c r="Q97" s="62"/>
    </row>
    <row r="98">
      <c r="A98" s="59"/>
      <c r="B98" s="60"/>
      <c r="C98" s="60"/>
      <c r="D98" s="61"/>
      <c r="E98" s="59"/>
      <c r="F98" s="59"/>
      <c r="G98" s="59"/>
      <c r="H98" s="59"/>
      <c r="I98" s="59"/>
      <c r="J98" s="59"/>
      <c r="K98" s="59"/>
      <c r="L98" s="59"/>
      <c r="M98" s="59"/>
      <c r="N98" s="59"/>
      <c r="O98" s="59"/>
      <c r="P98" s="62"/>
      <c r="Q98" s="62"/>
    </row>
    <row r="99">
      <c r="A99" s="59"/>
      <c r="B99" s="60"/>
      <c r="C99" s="60"/>
      <c r="D99" s="61"/>
      <c r="E99" s="59"/>
      <c r="F99" s="59"/>
      <c r="G99" s="59"/>
      <c r="H99" s="59"/>
      <c r="I99" s="59"/>
      <c r="J99" s="59"/>
      <c r="K99" s="59"/>
      <c r="L99" s="59"/>
      <c r="M99" s="59"/>
      <c r="N99" s="59"/>
      <c r="O99" s="59"/>
      <c r="P99" s="62"/>
      <c r="Q99" s="62"/>
    </row>
    <row r="100">
      <c r="A100" s="59"/>
      <c r="B100" s="60"/>
      <c r="C100" s="60"/>
      <c r="D100" s="61"/>
      <c r="E100" s="59"/>
      <c r="F100" s="59"/>
      <c r="G100" s="59"/>
      <c r="H100" s="59"/>
      <c r="I100" s="59"/>
      <c r="J100" s="59"/>
      <c r="K100" s="59"/>
      <c r="L100" s="59"/>
      <c r="M100" s="59"/>
      <c r="N100" s="59"/>
      <c r="O100" s="59"/>
      <c r="P100" s="62"/>
      <c r="Q100" s="62"/>
    </row>
    <row r="101">
      <c r="A101" s="59"/>
      <c r="B101" s="60"/>
      <c r="C101" s="60"/>
      <c r="D101" s="61"/>
      <c r="E101" s="59"/>
      <c r="F101" s="59"/>
      <c r="G101" s="59"/>
      <c r="H101" s="59"/>
      <c r="I101" s="59"/>
      <c r="J101" s="59"/>
      <c r="K101" s="59"/>
      <c r="L101" s="59"/>
      <c r="M101" s="59"/>
      <c r="N101" s="59"/>
      <c r="O101" s="59"/>
      <c r="P101" s="62"/>
      <c r="Q101" s="62"/>
    </row>
    <row r="102">
      <c r="A102" s="59"/>
      <c r="B102" s="60"/>
      <c r="C102" s="60"/>
      <c r="D102" s="61"/>
      <c r="E102" s="59"/>
      <c r="F102" s="59"/>
      <c r="G102" s="59"/>
      <c r="H102" s="59"/>
      <c r="I102" s="59"/>
      <c r="J102" s="59"/>
      <c r="K102" s="59"/>
      <c r="L102" s="59"/>
      <c r="M102" s="59"/>
      <c r="N102" s="59"/>
      <c r="O102" s="59"/>
      <c r="P102" s="62"/>
      <c r="Q102" s="62"/>
    </row>
    <row r="103">
      <c r="A103" s="59"/>
      <c r="B103" s="60"/>
      <c r="C103" s="60"/>
      <c r="D103" s="61"/>
      <c r="E103" s="59"/>
      <c r="F103" s="59"/>
      <c r="G103" s="59"/>
      <c r="H103" s="59"/>
      <c r="I103" s="59"/>
      <c r="J103" s="59"/>
      <c r="K103" s="59"/>
      <c r="L103" s="59"/>
      <c r="M103" s="59"/>
      <c r="N103" s="59"/>
      <c r="O103" s="59"/>
      <c r="P103" s="62"/>
      <c r="Q103" s="62"/>
    </row>
    <row r="104">
      <c r="A104" s="59"/>
      <c r="B104" s="60"/>
      <c r="C104" s="60"/>
      <c r="D104" s="61"/>
      <c r="E104" s="59"/>
      <c r="F104" s="59"/>
      <c r="G104" s="59"/>
      <c r="H104" s="59"/>
      <c r="I104" s="59"/>
      <c r="J104" s="59"/>
      <c r="K104" s="59"/>
      <c r="L104" s="59"/>
      <c r="M104" s="59"/>
      <c r="N104" s="59"/>
      <c r="O104" s="59"/>
      <c r="P104" s="62"/>
      <c r="Q104" s="62"/>
    </row>
    <row r="105">
      <c r="A105" s="59"/>
      <c r="B105" s="60"/>
      <c r="C105" s="60"/>
      <c r="D105" s="61"/>
      <c r="E105" s="59"/>
      <c r="F105" s="59"/>
      <c r="G105" s="59"/>
      <c r="H105" s="59"/>
      <c r="I105" s="59"/>
      <c r="J105" s="59"/>
      <c r="K105" s="59"/>
      <c r="L105" s="59"/>
      <c r="M105" s="59"/>
      <c r="N105" s="59"/>
      <c r="O105" s="59"/>
      <c r="P105" s="62"/>
      <c r="Q105" s="62"/>
    </row>
    <row r="106">
      <c r="A106" s="59"/>
      <c r="B106" s="60"/>
      <c r="C106" s="60"/>
      <c r="D106" s="61"/>
      <c r="E106" s="59"/>
      <c r="F106" s="59"/>
      <c r="G106" s="59"/>
      <c r="H106" s="59"/>
      <c r="I106" s="59"/>
      <c r="J106" s="59"/>
      <c r="K106" s="59"/>
      <c r="L106" s="59"/>
      <c r="M106" s="59"/>
      <c r="N106" s="59"/>
      <c r="O106" s="59"/>
      <c r="P106" s="62"/>
      <c r="Q106" s="62"/>
    </row>
    <row r="107">
      <c r="A107" s="59"/>
      <c r="B107" s="60"/>
      <c r="C107" s="60"/>
      <c r="D107" s="61"/>
      <c r="E107" s="59"/>
      <c r="F107" s="59"/>
      <c r="G107" s="59"/>
      <c r="H107" s="59"/>
      <c r="I107" s="59"/>
      <c r="J107" s="59"/>
      <c r="K107" s="59"/>
      <c r="L107" s="59"/>
      <c r="M107" s="59"/>
      <c r="N107" s="59"/>
      <c r="O107" s="59"/>
      <c r="P107" s="62"/>
      <c r="Q107" s="62"/>
    </row>
    <row r="108">
      <c r="A108" s="59"/>
      <c r="B108" s="60"/>
      <c r="C108" s="60"/>
      <c r="D108" s="61"/>
      <c r="E108" s="59"/>
      <c r="F108" s="59"/>
      <c r="G108" s="59"/>
      <c r="H108" s="59"/>
      <c r="I108" s="59"/>
      <c r="J108" s="59"/>
      <c r="K108" s="59"/>
      <c r="L108" s="59"/>
      <c r="M108" s="59"/>
      <c r="N108" s="59"/>
      <c r="O108" s="59"/>
      <c r="P108" s="62"/>
      <c r="Q108" s="62"/>
    </row>
    <row r="109">
      <c r="A109" s="59"/>
      <c r="B109" s="60"/>
      <c r="C109" s="60"/>
      <c r="D109" s="61"/>
      <c r="E109" s="59"/>
      <c r="F109" s="59"/>
      <c r="G109" s="59"/>
      <c r="H109" s="59"/>
      <c r="I109" s="59"/>
      <c r="J109" s="59"/>
      <c r="K109" s="59"/>
      <c r="L109" s="59"/>
      <c r="M109" s="59"/>
      <c r="N109" s="59"/>
      <c r="O109" s="59"/>
      <c r="P109" s="62"/>
      <c r="Q109" s="62"/>
    </row>
    <row r="110">
      <c r="A110" s="59"/>
      <c r="B110" s="60"/>
      <c r="C110" s="60"/>
      <c r="D110" s="61"/>
      <c r="E110" s="59"/>
      <c r="F110" s="59"/>
      <c r="G110" s="59"/>
      <c r="H110" s="59"/>
      <c r="I110" s="59"/>
      <c r="J110" s="59"/>
      <c r="K110" s="59"/>
      <c r="L110" s="59"/>
      <c r="M110" s="59"/>
      <c r="N110" s="59"/>
      <c r="O110" s="59"/>
      <c r="P110" s="62"/>
      <c r="Q110" s="62"/>
    </row>
    <row r="111">
      <c r="A111" s="59"/>
      <c r="B111" s="60"/>
      <c r="C111" s="60"/>
      <c r="D111" s="61"/>
      <c r="E111" s="59"/>
      <c r="F111" s="59"/>
      <c r="G111" s="59"/>
      <c r="H111" s="59"/>
      <c r="I111" s="59"/>
      <c r="J111" s="59"/>
      <c r="K111" s="59"/>
      <c r="L111" s="59"/>
      <c r="M111" s="59"/>
      <c r="N111" s="59"/>
      <c r="O111" s="59"/>
      <c r="P111" s="62"/>
      <c r="Q111" s="62"/>
    </row>
    <row r="112">
      <c r="A112" s="59"/>
      <c r="B112" s="60"/>
      <c r="C112" s="60"/>
      <c r="D112" s="61"/>
      <c r="E112" s="59"/>
      <c r="F112" s="59"/>
      <c r="G112" s="59"/>
      <c r="H112" s="59"/>
      <c r="I112" s="59"/>
      <c r="J112" s="59"/>
      <c r="K112" s="59"/>
      <c r="L112" s="59"/>
      <c r="M112" s="59"/>
      <c r="N112" s="59"/>
      <c r="O112" s="59"/>
      <c r="P112" s="62"/>
      <c r="Q112" s="62"/>
    </row>
    <row r="113">
      <c r="A113" s="59"/>
      <c r="B113" s="60"/>
      <c r="C113" s="60"/>
      <c r="D113" s="61"/>
      <c r="E113" s="59"/>
      <c r="F113" s="59"/>
      <c r="G113" s="59"/>
      <c r="H113" s="59"/>
      <c r="I113" s="59"/>
      <c r="J113" s="59"/>
      <c r="K113" s="59"/>
      <c r="L113" s="59"/>
      <c r="M113" s="59"/>
      <c r="N113" s="59"/>
      <c r="O113" s="59"/>
      <c r="P113" s="62"/>
      <c r="Q113" s="62"/>
    </row>
    <row r="114">
      <c r="A114" s="59"/>
      <c r="B114" s="60"/>
      <c r="C114" s="60"/>
      <c r="D114" s="61"/>
      <c r="E114" s="59"/>
      <c r="F114" s="59"/>
      <c r="G114" s="59"/>
      <c r="H114" s="59"/>
      <c r="I114" s="59"/>
      <c r="J114" s="59"/>
      <c r="K114" s="59"/>
      <c r="L114" s="59"/>
      <c r="M114" s="59"/>
      <c r="N114" s="59"/>
      <c r="O114" s="59"/>
      <c r="P114" s="62"/>
      <c r="Q114" s="62"/>
    </row>
    <row r="115">
      <c r="A115" s="59"/>
      <c r="B115" s="60"/>
      <c r="C115" s="60"/>
      <c r="D115" s="61"/>
      <c r="E115" s="59"/>
      <c r="F115" s="59"/>
      <c r="G115" s="59"/>
      <c r="H115" s="59"/>
      <c r="I115" s="59"/>
      <c r="J115" s="59"/>
      <c r="K115" s="59"/>
      <c r="L115" s="59"/>
      <c r="M115" s="59"/>
      <c r="N115" s="59"/>
      <c r="O115" s="59"/>
      <c r="P115" s="62"/>
      <c r="Q115" s="62"/>
    </row>
    <row r="116">
      <c r="A116" s="59"/>
      <c r="B116" s="60"/>
      <c r="C116" s="60"/>
      <c r="D116" s="61"/>
      <c r="E116" s="59"/>
      <c r="F116" s="59"/>
      <c r="G116" s="59"/>
      <c r="H116" s="59"/>
      <c r="I116" s="59"/>
      <c r="J116" s="59"/>
      <c r="K116" s="59"/>
      <c r="L116" s="59"/>
      <c r="M116" s="59"/>
      <c r="N116" s="59"/>
      <c r="O116" s="59"/>
      <c r="P116" s="62"/>
      <c r="Q116" s="62"/>
    </row>
    <row r="117">
      <c r="A117" s="59"/>
      <c r="B117" s="60"/>
      <c r="C117" s="60"/>
      <c r="D117" s="61"/>
      <c r="E117" s="59"/>
      <c r="F117" s="59"/>
      <c r="G117" s="59"/>
      <c r="H117" s="59"/>
      <c r="I117" s="59"/>
      <c r="J117" s="59"/>
      <c r="K117" s="59"/>
      <c r="L117" s="59"/>
      <c r="M117" s="59"/>
      <c r="N117" s="59"/>
      <c r="O117" s="59"/>
      <c r="P117" s="62"/>
      <c r="Q117" s="62"/>
    </row>
    <row r="118">
      <c r="A118" s="59"/>
      <c r="B118" s="60"/>
      <c r="C118" s="60"/>
      <c r="D118" s="61"/>
      <c r="E118" s="59"/>
      <c r="F118" s="59"/>
      <c r="G118" s="59"/>
      <c r="H118" s="59"/>
      <c r="I118" s="59"/>
      <c r="J118" s="59"/>
      <c r="K118" s="59"/>
      <c r="L118" s="59"/>
      <c r="M118" s="59"/>
      <c r="N118" s="59"/>
      <c r="O118" s="59"/>
      <c r="P118" s="62"/>
      <c r="Q118" s="62"/>
    </row>
    <row r="119">
      <c r="A119" s="59"/>
      <c r="B119" s="60"/>
      <c r="C119" s="60"/>
      <c r="D119" s="61"/>
      <c r="E119" s="59"/>
      <c r="F119" s="59"/>
      <c r="G119" s="59"/>
      <c r="H119" s="59"/>
      <c r="I119" s="59"/>
      <c r="J119" s="59"/>
      <c r="K119" s="59"/>
      <c r="L119" s="59"/>
      <c r="M119" s="59"/>
      <c r="N119" s="59"/>
      <c r="O119" s="59"/>
      <c r="P119" s="62"/>
      <c r="Q119" s="62"/>
    </row>
    <row r="120">
      <c r="A120" s="59"/>
      <c r="B120" s="60"/>
      <c r="C120" s="60"/>
      <c r="D120" s="61"/>
      <c r="E120" s="59"/>
      <c r="F120" s="59"/>
      <c r="G120" s="59"/>
      <c r="H120" s="59"/>
      <c r="I120" s="59"/>
      <c r="J120" s="59"/>
      <c r="K120" s="59"/>
      <c r="L120" s="59"/>
      <c r="M120" s="59"/>
      <c r="N120" s="59"/>
      <c r="O120" s="59"/>
      <c r="P120" s="62"/>
      <c r="Q120" s="62"/>
    </row>
    <row r="121">
      <c r="A121" s="59"/>
      <c r="B121" s="60"/>
      <c r="C121" s="60"/>
      <c r="D121" s="61"/>
      <c r="E121" s="59"/>
      <c r="F121" s="59"/>
      <c r="G121" s="59"/>
      <c r="H121" s="59"/>
      <c r="I121" s="59"/>
      <c r="J121" s="59"/>
      <c r="K121" s="59"/>
      <c r="L121" s="59"/>
      <c r="M121" s="59"/>
      <c r="N121" s="59"/>
      <c r="O121" s="59"/>
      <c r="P121" s="62"/>
      <c r="Q121" s="62"/>
    </row>
    <row r="122">
      <c r="A122" s="59"/>
      <c r="B122" s="60"/>
      <c r="C122" s="60"/>
      <c r="D122" s="61"/>
      <c r="E122" s="59"/>
      <c r="F122" s="59"/>
      <c r="G122" s="59"/>
      <c r="H122" s="59"/>
      <c r="I122" s="59"/>
      <c r="J122" s="59"/>
      <c r="K122" s="59"/>
      <c r="L122" s="59"/>
      <c r="M122" s="59"/>
      <c r="N122" s="59"/>
      <c r="O122" s="59"/>
      <c r="P122" s="62"/>
      <c r="Q122" s="62"/>
    </row>
    <row r="123">
      <c r="A123" s="59"/>
      <c r="B123" s="60"/>
      <c r="C123" s="60"/>
      <c r="D123" s="61"/>
      <c r="E123" s="59"/>
      <c r="F123" s="59"/>
      <c r="G123" s="59"/>
      <c r="H123" s="59"/>
      <c r="I123" s="59"/>
      <c r="J123" s="59"/>
      <c r="K123" s="59"/>
      <c r="L123" s="59"/>
      <c r="M123" s="59"/>
      <c r="N123" s="59"/>
      <c r="O123" s="59"/>
      <c r="P123" s="62"/>
      <c r="Q123" s="62"/>
    </row>
    <row r="124">
      <c r="A124" s="59"/>
      <c r="B124" s="60"/>
      <c r="C124" s="60"/>
      <c r="D124" s="61"/>
      <c r="E124" s="59"/>
      <c r="F124" s="59"/>
      <c r="G124" s="59"/>
      <c r="H124" s="59"/>
      <c r="I124" s="59"/>
      <c r="J124" s="59"/>
      <c r="K124" s="59"/>
      <c r="L124" s="59"/>
      <c r="M124" s="59"/>
      <c r="N124" s="59"/>
      <c r="O124" s="59"/>
      <c r="P124" s="62"/>
      <c r="Q124" s="62"/>
    </row>
    <row r="125">
      <c r="A125" s="59"/>
      <c r="B125" s="60"/>
      <c r="C125" s="60"/>
      <c r="D125" s="61"/>
      <c r="E125" s="59"/>
      <c r="F125" s="59"/>
      <c r="G125" s="59"/>
      <c r="H125" s="59"/>
      <c r="I125" s="59"/>
      <c r="J125" s="59"/>
      <c r="K125" s="59"/>
      <c r="L125" s="59"/>
      <c r="M125" s="59"/>
      <c r="N125" s="59"/>
      <c r="O125" s="59"/>
      <c r="P125" s="62"/>
      <c r="Q125" s="62"/>
    </row>
    <row r="126">
      <c r="A126" s="59"/>
      <c r="B126" s="60"/>
      <c r="C126" s="60"/>
      <c r="D126" s="61"/>
      <c r="E126" s="59"/>
      <c r="F126" s="59"/>
      <c r="G126" s="59"/>
      <c r="H126" s="59"/>
      <c r="I126" s="59"/>
      <c r="J126" s="59"/>
      <c r="K126" s="59"/>
      <c r="L126" s="59"/>
      <c r="M126" s="59"/>
      <c r="N126" s="59"/>
      <c r="O126" s="59"/>
      <c r="P126" s="62"/>
      <c r="Q126" s="62"/>
    </row>
    <row r="127">
      <c r="A127" s="59"/>
      <c r="B127" s="60"/>
      <c r="C127" s="60"/>
      <c r="D127" s="61"/>
      <c r="E127" s="59"/>
      <c r="F127" s="59"/>
      <c r="G127" s="59"/>
      <c r="H127" s="59"/>
      <c r="I127" s="59"/>
      <c r="J127" s="59"/>
      <c r="K127" s="59"/>
      <c r="L127" s="59"/>
      <c r="M127" s="59"/>
      <c r="N127" s="59"/>
      <c r="O127" s="59"/>
      <c r="P127" s="62"/>
      <c r="Q127" s="62"/>
    </row>
    <row r="128">
      <c r="A128" s="59"/>
      <c r="B128" s="60"/>
      <c r="C128" s="60"/>
      <c r="D128" s="61"/>
      <c r="E128" s="59"/>
      <c r="F128" s="59"/>
      <c r="G128" s="59"/>
      <c r="H128" s="59"/>
      <c r="I128" s="59"/>
      <c r="J128" s="59"/>
      <c r="K128" s="59"/>
      <c r="L128" s="59"/>
      <c r="M128" s="59"/>
      <c r="N128" s="59"/>
      <c r="O128" s="59"/>
      <c r="P128" s="62"/>
      <c r="Q128" s="62"/>
    </row>
    <row r="129">
      <c r="A129" s="59"/>
      <c r="B129" s="60"/>
      <c r="C129" s="60"/>
      <c r="D129" s="61"/>
      <c r="E129" s="59"/>
      <c r="F129" s="59"/>
      <c r="G129" s="59"/>
      <c r="H129" s="59"/>
      <c r="I129" s="59"/>
      <c r="J129" s="59"/>
      <c r="K129" s="59"/>
      <c r="L129" s="59"/>
      <c r="M129" s="59"/>
      <c r="N129" s="59"/>
      <c r="O129" s="59"/>
      <c r="P129" s="62"/>
      <c r="Q129" s="62"/>
    </row>
    <row r="130">
      <c r="A130" s="59"/>
      <c r="B130" s="60"/>
      <c r="C130" s="60"/>
      <c r="D130" s="61"/>
      <c r="E130" s="59"/>
      <c r="F130" s="59"/>
      <c r="G130" s="59"/>
      <c r="H130" s="59"/>
      <c r="I130" s="59"/>
      <c r="J130" s="59"/>
      <c r="K130" s="59"/>
      <c r="L130" s="59"/>
      <c r="M130" s="59"/>
      <c r="N130" s="59"/>
      <c r="O130" s="59"/>
      <c r="P130" s="62"/>
      <c r="Q130" s="62"/>
    </row>
    <row r="131">
      <c r="A131" s="59"/>
      <c r="B131" s="60"/>
      <c r="C131" s="60"/>
      <c r="D131" s="61"/>
      <c r="E131" s="59"/>
      <c r="F131" s="59"/>
      <c r="G131" s="59"/>
      <c r="H131" s="59"/>
      <c r="I131" s="59"/>
      <c r="J131" s="59"/>
      <c r="K131" s="59"/>
      <c r="L131" s="59"/>
      <c r="M131" s="59"/>
      <c r="N131" s="59"/>
      <c r="O131" s="59"/>
      <c r="P131" s="62"/>
      <c r="Q131" s="62"/>
    </row>
    <row r="132">
      <c r="A132" s="59"/>
      <c r="B132" s="60"/>
      <c r="C132" s="60"/>
      <c r="D132" s="61"/>
      <c r="E132" s="59"/>
      <c r="F132" s="59"/>
      <c r="G132" s="59"/>
      <c r="H132" s="59"/>
      <c r="I132" s="59"/>
      <c r="J132" s="59"/>
      <c r="K132" s="59"/>
      <c r="L132" s="59"/>
      <c r="M132" s="59"/>
      <c r="N132" s="59"/>
      <c r="O132" s="59"/>
      <c r="P132" s="62"/>
      <c r="Q132" s="62"/>
    </row>
    <row r="133">
      <c r="A133" s="59"/>
      <c r="B133" s="60"/>
      <c r="C133" s="60"/>
      <c r="D133" s="61"/>
      <c r="E133" s="59"/>
      <c r="F133" s="59"/>
      <c r="G133" s="59"/>
      <c r="H133" s="59"/>
      <c r="I133" s="59"/>
      <c r="J133" s="59"/>
      <c r="K133" s="59"/>
      <c r="L133" s="59"/>
      <c r="M133" s="59"/>
      <c r="N133" s="59"/>
      <c r="O133" s="59"/>
      <c r="P133" s="62"/>
      <c r="Q133" s="62"/>
    </row>
    <row r="134">
      <c r="A134" s="59"/>
      <c r="B134" s="60"/>
      <c r="C134" s="60"/>
      <c r="D134" s="61"/>
      <c r="E134" s="59"/>
      <c r="F134" s="59"/>
      <c r="G134" s="59"/>
      <c r="H134" s="59"/>
      <c r="I134" s="59"/>
      <c r="J134" s="59"/>
      <c r="K134" s="59"/>
      <c r="L134" s="59"/>
      <c r="M134" s="59"/>
      <c r="N134" s="59"/>
      <c r="O134" s="59"/>
      <c r="P134" s="62"/>
      <c r="Q134" s="62"/>
    </row>
    <row r="135">
      <c r="A135" s="59"/>
      <c r="B135" s="60"/>
      <c r="C135" s="60"/>
      <c r="D135" s="61"/>
      <c r="E135" s="59"/>
      <c r="F135" s="59"/>
      <c r="G135" s="59"/>
      <c r="H135" s="59"/>
      <c r="I135" s="59"/>
      <c r="J135" s="59"/>
      <c r="K135" s="59"/>
      <c r="L135" s="59"/>
      <c r="M135" s="59"/>
      <c r="N135" s="59"/>
      <c r="O135" s="59"/>
      <c r="P135" s="62"/>
      <c r="Q135" s="62"/>
    </row>
    <row r="136">
      <c r="A136" s="59"/>
      <c r="B136" s="60"/>
      <c r="C136" s="60"/>
      <c r="D136" s="61"/>
      <c r="E136" s="59"/>
      <c r="F136" s="59"/>
      <c r="G136" s="59"/>
      <c r="H136" s="59"/>
      <c r="I136" s="59"/>
      <c r="J136" s="59"/>
      <c r="K136" s="59"/>
      <c r="L136" s="59"/>
      <c r="M136" s="59"/>
      <c r="N136" s="59"/>
      <c r="O136" s="59"/>
      <c r="P136" s="62"/>
      <c r="Q136" s="62"/>
    </row>
    <row r="137">
      <c r="A137" s="59"/>
      <c r="B137" s="60"/>
      <c r="C137" s="60"/>
      <c r="D137" s="61"/>
      <c r="E137" s="59"/>
      <c r="F137" s="59"/>
      <c r="G137" s="59"/>
      <c r="H137" s="59"/>
      <c r="I137" s="59"/>
      <c r="J137" s="59"/>
      <c r="K137" s="59"/>
      <c r="L137" s="59"/>
      <c r="M137" s="59"/>
      <c r="N137" s="59"/>
      <c r="O137" s="59"/>
      <c r="P137" s="62"/>
      <c r="Q137" s="62"/>
    </row>
    <row r="138">
      <c r="A138" s="59"/>
      <c r="B138" s="60"/>
      <c r="C138" s="60"/>
      <c r="D138" s="61"/>
      <c r="E138" s="59"/>
      <c r="F138" s="59"/>
      <c r="G138" s="59"/>
      <c r="H138" s="59"/>
      <c r="I138" s="59"/>
      <c r="J138" s="59"/>
      <c r="K138" s="59"/>
      <c r="L138" s="59"/>
      <c r="M138" s="59"/>
      <c r="N138" s="59"/>
      <c r="O138" s="59"/>
      <c r="P138" s="62"/>
      <c r="Q138" s="62"/>
    </row>
    <row r="139">
      <c r="A139" s="59"/>
      <c r="B139" s="60"/>
      <c r="C139" s="60"/>
      <c r="D139" s="61"/>
      <c r="E139" s="59"/>
      <c r="F139" s="59"/>
      <c r="G139" s="59"/>
      <c r="H139" s="59"/>
      <c r="I139" s="59"/>
      <c r="J139" s="59"/>
      <c r="K139" s="59"/>
      <c r="L139" s="59"/>
      <c r="M139" s="59"/>
      <c r="N139" s="59"/>
      <c r="O139" s="59"/>
      <c r="P139" s="62"/>
      <c r="Q139" s="62"/>
    </row>
    <row r="140">
      <c r="A140" s="59"/>
      <c r="B140" s="60"/>
      <c r="C140" s="60"/>
      <c r="D140" s="61"/>
      <c r="E140" s="59"/>
      <c r="F140" s="59"/>
      <c r="G140" s="59"/>
      <c r="H140" s="59"/>
      <c r="I140" s="59"/>
      <c r="J140" s="59"/>
      <c r="K140" s="59"/>
      <c r="L140" s="59"/>
      <c r="M140" s="59"/>
      <c r="N140" s="59"/>
      <c r="O140" s="59"/>
      <c r="P140" s="62"/>
      <c r="Q140" s="62"/>
    </row>
    <row r="141">
      <c r="A141" s="59"/>
      <c r="B141" s="60"/>
      <c r="C141" s="60"/>
      <c r="D141" s="61"/>
      <c r="E141" s="59"/>
      <c r="F141" s="59"/>
      <c r="G141" s="59"/>
      <c r="H141" s="59"/>
      <c r="I141" s="59"/>
      <c r="J141" s="59"/>
      <c r="K141" s="59"/>
      <c r="L141" s="59"/>
      <c r="M141" s="59"/>
      <c r="N141" s="59"/>
      <c r="O141" s="59"/>
      <c r="P141" s="62"/>
      <c r="Q141" s="62"/>
    </row>
    <row r="142">
      <c r="A142" s="59"/>
      <c r="B142" s="60"/>
      <c r="C142" s="60"/>
      <c r="D142" s="61"/>
      <c r="E142" s="59"/>
      <c r="F142" s="59"/>
      <c r="G142" s="59"/>
      <c r="H142" s="59"/>
      <c r="I142" s="59"/>
      <c r="J142" s="59"/>
      <c r="K142" s="59"/>
      <c r="L142" s="59"/>
      <c r="M142" s="59"/>
      <c r="N142" s="59"/>
      <c r="O142" s="59"/>
      <c r="P142" s="62"/>
      <c r="Q142" s="62"/>
    </row>
    <row r="143">
      <c r="A143" s="59"/>
      <c r="B143" s="60"/>
      <c r="C143" s="60"/>
      <c r="D143" s="61"/>
      <c r="E143" s="59"/>
      <c r="F143" s="59"/>
      <c r="G143" s="59"/>
      <c r="H143" s="59"/>
      <c r="I143" s="59"/>
      <c r="J143" s="59"/>
      <c r="K143" s="59"/>
      <c r="L143" s="59"/>
      <c r="M143" s="59"/>
      <c r="N143" s="59"/>
      <c r="O143" s="59"/>
      <c r="P143" s="62"/>
      <c r="Q143" s="62"/>
    </row>
    <row r="144">
      <c r="A144" s="59"/>
      <c r="B144" s="60"/>
      <c r="C144" s="60"/>
      <c r="D144" s="61"/>
      <c r="E144" s="59"/>
      <c r="F144" s="59"/>
      <c r="G144" s="59"/>
      <c r="H144" s="59"/>
      <c r="I144" s="59"/>
      <c r="J144" s="59"/>
      <c r="K144" s="59"/>
      <c r="L144" s="59"/>
      <c r="M144" s="59"/>
      <c r="N144" s="59"/>
      <c r="O144" s="59"/>
      <c r="P144" s="62"/>
      <c r="Q144" s="62"/>
    </row>
    <row r="145">
      <c r="A145" s="59"/>
      <c r="B145" s="60"/>
      <c r="C145" s="60"/>
      <c r="D145" s="61"/>
      <c r="E145" s="59"/>
      <c r="F145" s="59"/>
      <c r="G145" s="59"/>
      <c r="H145" s="59"/>
      <c r="I145" s="59"/>
      <c r="J145" s="59"/>
      <c r="K145" s="59"/>
      <c r="L145" s="59"/>
      <c r="M145" s="59"/>
      <c r="N145" s="59"/>
      <c r="O145" s="59"/>
      <c r="P145" s="62"/>
      <c r="Q145" s="62"/>
    </row>
    <row r="146">
      <c r="A146" s="59"/>
      <c r="B146" s="60"/>
      <c r="C146" s="60"/>
      <c r="D146" s="61"/>
      <c r="E146" s="59"/>
      <c r="F146" s="59"/>
      <c r="G146" s="59"/>
      <c r="H146" s="59"/>
      <c r="I146" s="59"/>
      <c r="J146" s="59"/>
      <c r="K146" s="59"/>
      <c r="L146" s="59"/>
      <c r="M146" s="59"/>
      <c r="N146" s="59"/>
      <c r="O146" s="59"/>
      <c r="P146" s="62"/>
      <c r="Q146" s="62"/>
    </row>
    <row r="147">
      <c r="A147" s="59"/>
      <c r="B147" s="60"/>
      <c r="C147" s="60"/>
      <c r="D147" s="61"/>
      <c r="E147" s="59"/>
      <c r="F147" s="59"/>
      <c r="G147" s="59"/>
      <c r="H147" s="59"/>
      <c r="I147" s="59"/>
      <c r="J147" s="59"/>
      <c r="K147" s="59"/>
      <c r="L147" s="59"/>
      <c r="M147" s="59"/>
      <c r="N147" s="59"/>
      <c r="O147" s="59"/>
      <c r="P147" s="62"/>
      <c r="Q147" s="62"/>
    </row>
    <row r="148">
      <c r="A148" s="59"/>
      <c r="B148" s="60"/>
      <c r="C148" s="60"/>
      <c r="D148" s="61"/>
      <c r="E148" s="59"/>
      <c r="F148" s="59"/>
      <c r="G148" s="59"/>
      <c r="H148" s="59"/>
      <c r="I148" s="59"/>
      <c r="J148" s="59"/>
      <c r="K148" s="59"/>
      <c r="L148" s="59"/>
      <c r="M148" s="59"/>
      <c r="N148" s="59"/>
      <c r="O148" s="59"/>
      <c r="P148" s="62"/>
      <c r="Q148" s="62"/>
    </row>
    <row r="149">
      <c r="A149" s="59"/>
      <c r="B149" s="60"/>
      <c r="C149" s="60"/>
      <c r="D149" s="61"/>
      <c r="E149" s="59"/>
      <c r="F149" s="59"/>
      <c r="G149" s="59"/>
      <c r="H149" s="59"/>
      <c r="I149" s="59"/>
      <c r="J149" s="59"/>
      <c r="K149" s="59"/>
      <c r="L149" s="59"/>
      <c r="M149" s="59"/>
      <c r="N149" s="59"/>
      <c r="O149" s="59"/>
      <c r="P149" s="62"/>
      <c r="Q149" s="62"/>
    </row>
    <row r="150">
      <c r="A150" s="59"/>
      <c r="B150" s="60"/>
      <c r="C150" s="60"/>
      <c r="D150" s="61"/>
      <c r="E150" s="59"/>
      <c r="F150" s="59"/>
      <c r="G150" s="59"/>
      <c r="H150" s="59"/>
      <c r="I150" s="59"/>
      <c r="J150" s="59"/>
      <c r="K150" s="59"/>
      <c r="L150" s="59"/>
      <c r="M150" s="59"/>
      <c r="N150" s="59"/>
      <c r="O150" s="59"/>
      <c r="P150" s="62"/>
      <c r="Q150" s="62"/>
    </row>
    <row r="151">
      <c r="A151" s="59"/>
      <c r="B151" s="60"/>
      <c r="C151" s="60"/>
      <c r="D151" s="61"/>
      <c r="E151" s="59"/>
      <c r="F151" s="59"/>
      <c r="G151" s="59"/>
      <c r="H151" s="59"/>
      <c r="I151" s="59"/>
      <c r="J151" s="59"/>
      <c r="K151" s="59"/>
      <c r="L151" s="59"/>
      <c r="M151" s="59"/>
      <c r="N151" s="59"/>
      <c r="O151" s="59"/>
      <c r="P151" s="62"/>
      <c r="Q151" s="62"/>
    </row>
    <row r="152">
      <c r="A152" s="59"/>
      <c r="B152" s="60"/>
      <c r="C152" s="60"/>
      <c r="D152" s="61"/>
      <c r="E152" s="59"/>
      <c r="F152" s="59"/>
      <c r="G152" s="59"/>
      <c r="H152" s="59"/>
      <c r="I152" s="59"/>
      <c r="J152" s="59"/>
      <c r="K152" s="59"/>
      <c r="L152" s="59"/>
      <c r="M152" s="59"/>
      <c r="N152" s="59"/>
      <c r="O152" s="59"/>
      <c r="P152" s="62"/>
      <c r="Q152" s="62"/>
    </row>
    <row r="153">
      <c r="A153" s="59"/>
      <c r="B153" s="60"/>
      <c r="C153" s="60"/>
      <c r="D153" s="61"/>
      <c r="E153" s="59"/>
      <c r="F153" s="59"/>
      <c r="G153" s="59"/>
      <c r="H153" s="59"/>
      <c r="I153" s="59"/>
      <c r="J153" s="59"/>
      <c r="K153" s="59"/>
      <c r="L153" s="59"/>
      <c r="M153" s="59"/>
      <c r="N153" s="59"/>
      <c r="O153" s="59"/>
      <c r="P153" s="62"/>
      <c r="Q153" s="62"/>
    </row>
    <row r="154">
      <c r="A154" s="59"/>
      <c r="B154" s="60"/>
      <c r="C154" s="60"/>
      <c r="D154" s="61"/>
      <c r="E154" s="59"/>
      <c r="F154" s="59"/>
      <c r="G154" s="59"/>
      <c r="H154" s="59"/>
      <c r="I154" s="59"/>
      <c r="J154" s="59"/>
      <c r="K154" s="59"/>
      <c r="L154" s="59"/>
      <c r="M154" s="59"/>
      <c r="N154" s="59"/>
      <c r="O154" s="59"/>
      <c r="P154" s="62"/>
      <c r="Q154" s="62"/>
    </row>
    <row r="155">
      <c r="A155" s="59"/>
      <c r="B155" s="60"/>
      <c r="C155" s="60"/>
      <c r="D155" s="61"/>
      <c r="E155" s="59"/>
      <c r="F155" s="59"/>
      <c r="G155" s="59"/>
      <c r="H155" s="59"/>
      <c r="I155" s="59"/>
      <c r="J155" s="59"/>
      <c r="K155" s="59"/>
      <c r="L155" s="59"/>
      <c r="M155" s="59"/>
      <c r="N155" s="59"/>
      <c r="O155" s="59"/>
      <c r="P155" s="62"/>
      <c r="Q155" s="62"/>
    </row>
    <row r="156">
      <c r="A156" s="59"/>
      <c r="B156" s="60"/>
      <c r="C156" s="60"/>
      <c r="D156" s="61"/>
      <c r="E156" s="59"/>
      <c r="F156" s="59"/>
      <c r="G156" s="59"/>
      <c r="H156" s="59"/>
      <c r="I156" s="59"/>
      <c r="J156" s="59"/>
      <c r="K156" s="59"/>
      <c r="L156" s="59"/>
      <c r="M156" s="59"/>
      <c r="N156" s="59"/>
      <c r="O156" s="59"/>
      <c r="P156" s="62"/>
      <c r="Q156" s="62"/>
    </row>
    <row r="157">
      <c r="A157" s="59"/>
      <c r="B157" s="60"/>
      <c r="C157" s="60"/>
      <c r="D157" s="61"/>
      <c r="E157" s="59"/>
      <c r="F157" s="59"/>
      <c r="G157" s="59"/>
      <c r="H157" s="59"/>
      <c r="I157" s="59"/>
      <c r="J157" s="59"/>
      <c r="K157" s="59"/>
      <c r="L157" s="59"/>
      <c r="M157" s="59"/>
      <c r="N157" s="59"/>
      <c r="O157" s="59"/>
      <c r="P157" s="62"/>
      <c r="Q157" s="62"/>
    </row>
    <row r="158">
      <c r="A158" s="59"/>
      <c r="B158" s="60"/>
      <c r="C158" s="60"/>
      <c r="D158" s="61"/>
      <c r="E158" s="59"/>
      <c r="F158" s="59"/>
      <c r="G158" s="59"/>
      <c r="H158" s="59"/>
      <c r="I158" s="59"/>
      <c r="J158" s="59"/>
      <c r="K158" s="59"/>
      <c r="L158" s="59"/>
      <c r="M158" s="59"/>
      <c r="N158" s="59"/>
      <c r="O158" s="59"/>
      <c r="P158" s="62"/>
      <c r="Q158" s="62"/>
    </row>
    <row r="159">
      <c r="A159" s="59"/>
      <c r="B159" s="60"/>
      <c r="C159" s="60"/>
      <c r="D159" s="61"/>
      <c r="E159" s="59"/>
      <c r="F159" s="59"/>
      <c r="G159" s="59"/>
      <c r="H159" s="59"/>
      <c r="I159" s="59"/>
      <c r="J159" s="59"/>
      <c r="K159" s="59"/>
      <c r="L159" s="59"/>
      <c r="M159" s="59"/>
      <c r="N159" s="59"/>
      <c r="O159" s="59"/>
      <c r="P159" s="62"/>
      <c r="Q159" s="62"/>
    </row>
    <row r="160">
      <c r="A160" s="59"/>
      <c r="B160" s="60"/>
      <c r="C160" s="60"/>
      <c r="D160" s="61"/>
      <c r="E160" s="59"/>
      <c r="F160" s="59"/>
      <c r="G160" s="59"/>
      <c r="H160" s="59"/>
      <c r="I160" s="59"/>
      <c r="J160" s="59"/>
      <c r="K160" s="59"/>
      <c r="L160" s="59"/>
      <c r="M160" s="59"/>
      <c r="N160" s="59"/>
      <c r="O160" s="59"/>
      <c r="P160" s="62"/>
      <c r="Q160" s="62"/>
    </row>
    <row r="161">
      <c r="A161" s="59"/>
      <c r="B161" s="60"/>
      <c r="C161" s="60"/>
      <c r="D161" s="61"/>
      <c r="E161" s="59"/>
      <c r="F161" s="59"/>
      <c r="G161" s="59"/>
      <c r="H161" s="59"/>
      <c r="I161" s="59"/>
      <c r="J161" s="59"/>
      <c r="K161" s="59"/>
      <c r="L161" s="59"/>
      <c r="M161" s="59"/>
      <c r="N161" s="59"/>
      <c r="O161" s="59"/>
      <c r="P161" s="62"/>
      <c r="Q161" s="62"/>
    </row>
    <row r="162">
      <c r="A162" s="59"/>
      <c r="B162" s="60"/>
      <c r="C162" s="60"/>
      <c r="D162" s="61"/>
      <c r="E162" s="59"/>
      <c r="F162" s="59"/>
      <c r="G162" s="59"/>
      <c r="H162" s="59"/>
      <c r="I162" s="59"/>
      <c r="J162" s="59"/>
      <c r="K162" s="59"/>
      <c r="L162" s="59"/>
      <c r="M162" s="59"/>
      <c r="N162" s="59"/>
      <c r="O162" s="59"/>
      <c r="P162" s="62"/>
      <c r="Q162" s="62"/>
    </row>
    <row r="163">
      <c r="A163" s="59"/>
      <c r="B163" s="60"/>
      <c r="C163" s="60"/>
      <c r="D163" s="61"/>
      <c r="E163" s="59"/>
      <c r="F163" s="59"/>
      <c r="G163" s="59"/>
      <c r="H163" s="59"/>
      <c r="I163" s="59"/>
      <c r="J163" s="59"/>
      <c r="K163" s="59"/>
      <c r="L163" s="59"/>
      <c r="M163" s="59"/>
      <c r="N163" s="59"/>
      <c r="O163" s="59"/>
      <c r="P163" s="62"/>
      <c r="Q163" s="62"/>
    </row>
    <row r="164">
      <c r="A164" s="59"/>
      <c r="B164" s="60"/>
      <c r="C164" s="60"/>
      <c r="D164" s="61"/>
      <c r="E164" s="59"/>
      <c r="F164" s="59"/>
      <c r="G164" s="59"/>
      <c r="H164" s="59"/>
      <c r="I164" s="59"/>
      <c r="J164" s="59"/>
      <c r="K164" s="59"/>
      <c r="L164" s="59"/>
      <c r="M164" s="59"/>
      <c r="N164" s="59"/>
      <c r="O164" s="59"/>
      <c r="P164" s="62"/>
      <c r="Q164" s="62"/>
    </row>
    <row r="165">
      <c r="A165" s="59"/>
      <c r="B165" s="60"/>
      <c r="C165" s="60"/>
      <c r="D165" s="61"/>
      <c r="E165" s="59"/>
      <c r="F165" s="59"/>
      <c r="G165" s="59"/>
      <c r="H165" s="59"/>
      <c r="I165" s="59"/>
      <c r="J165" s="59"/>
      <c r="K165" s="59"/>
      <c r="L165" s="59"/>
      <c r="M165" s="59"/>
      <c r="N165" s="59"/>
      <c r="O165" s="59"/>
      <c r="P165" s="62"/>
      <c r="Q165" s="62"/>
    </row>
    <row r="166">
      <c r="A166" s="59"/>
      <c r="B166" s="60"/>
      <c r="C166" s="60"/>
      <c r="D166" s="61"/>
      <c r="E166" s="59"/>
      <c r="F166" s="59"/>
      <c r="G166" s="59"/>
      <c r="H166" s="59"/>
      <c r="I166" s="59"/>
      <c r="J166" s="59"/>
      <c r="K166" s="59"/>
      <c r="L166" s="59"/>
      <c r="M166" s="59"/>
      <c r="N166" s="59"/>
      <c r="O166" s="59"/>
      <c r="P166" s="62"/>
      <c r="Q166" s="62"/>
    </row>
    <row r="167">
      <c r="A167" s="59"/>
      <c r="B167" s="60"/>
      <c r="C167" s="60"/>
      <c r="D167" s="61"/>
      <c r="E167" s="59"/>
      <c r="F167" s="59"/>
      <c r="G167" s="59"/>
      <c r="H167" s="59"/>
      <c r="I167" s="59"/>
      <c r="J167" s="59"/>
      <c r="K167" s="59"/>
      <c r="L167" s="59"/>
      <c r="M167" s="59"/>
      <c r="N167" s="59"/>
      <c r="O167" s="59"/>
      <c r="P167" s="62"/>
      <c r="Q167" s="62"/>
    </row>
    <row r="168">
      <c r="A168" s="59"/>
      <c r="B168" s="60"/>
      <c r="C168" s="60"/>
      <c r="D168" s="61"/>
      <c r="E168" s="59"/>
      <c r="F168" s="59"/>
      <c r="G168" s="59"/>
      <c r="H168" s="59"/>
      <c r="I168" s="59"/>
      <c r="J168" s="59"/>
      <c r="K168" s="59"/>
      <c r="L168" s="59"/>
      <c r="M168" s="59"/>
      <c r="N168" s="59"/>
      <c r="O168" s="59"/>
      <c r="P168" s="62"/>
      <c r="Q168" s="62"/>
    </row>
    <row r="169">
      <c r="A169" s="59"/>
      <c r="B169" s="60"/>
      <c r="C169" s="60"/>
      <c r="D169" s="61"/>
      <c r="E169" s="59"/>
      <c r="F169" s="59"/>
      <c r="G169" s="59"/>
      <c r="H169" s="59"/>
      <c r="I169" s="59"/>
      <c r="J169" s="59"/>
      <c r="K169" s="59"/>
      <c r="L169" s="59"/>
      <c r="M169" s="59"/>
      <c r="N169" s="59"/>
      <c r="O169" s="59"/>
      <c r="P169" s="62"/>
      <c r="Q169" s="62"/>
    </row>
    <row r="170">
      <c r="A170" s="59"/>
      <c r="B170" s="60"/>
      <c r="C170" s="60"/>
      <c r="D170" s="61"/>
      <c r="E170" s="59"/>
      <c r="F170" s="59"/>
      <c r="G170" s="59"/>
      <c r="H170" s="59"/>
      <c r="I170" s="59"/>
      <c r="J170" s="59"/>
      <c r="K170" s="59"/>
      <c r="L170" s="59"/>
      <c r="M170" s="59"/>
      <c r="N170" s="59"/>
      <c r="O170" s="59"/>
      <c r="P170" s="62"/>
      <c r="Q170" s="62"/>
    </row>
    <row r="171">
      <c r="A171" s="59"/>
      <c r="B171" s="60"/>
      <c r="C171" s="60"/>
      <c r="D171" s="61"/>
      <c r="E171" s="59"/>
      <c r="F171" s="59"/>
      <c r="G171" s="59"/>
      <c r="H171" s="59"/>
      <c r="I171" s="59"/>
      <c r="J171" s="59"/>
      <c r="K171" s="59"/>
      <c r="L171" s="59"/>
      <c r="M171" s="59"/>
      <c r="N171" s="59"/>
      <c r="O171" s="59"/>
      <c r="P171" s="62"/>
      <c r="Q171" s="62"/>
    </row>
    <row r="172">
      <c r="A172" s="59"/>
      <c r="B172" s="60"/>
      <c r="C172" s="60"/>
      <c r="D172" s="61"/>
      <c r="E172" s="59"/>
      <c r="F172" s="59"/>
      <c r="G172" s="59"/>
      <c r="H172" s="59"/>
      <c r="I172" s="59"/>
      <c r="J172" s="59"/>
      <c r="K172" s="59"/>
      <c r="L172" s="59"/>
      <c r="M172" s="59"/>
      <c r="N172" s="59"/>
      <c r="O172" s="59"/>
      <c r="P172" s="62"/>
      <c r="Q172" s="62"/>
    </row>
    <row r="173">
      <c r="A173" s="59"/>
      <c r="B173" s="60"/>
      <c r="C173" s="60"/>
      <c r="D173" s="61"/>
      <c r="E173" s="59"/>
      <c r="F173" s="59"/>
      <c r="G173" s="59"/>
      <c r="H173" s="59"/>
      <c r="I173" s="59"/>
      <c r="J173" s="59"/>
      <c r="K173" s="59"/>
      <c r="L173" s="59"/>
      <c r="M173" s="59"/>
      <c r="N173" s="59"/>
      <c r="O173" s="59"/>
      <c r="P173" s="62"/>
      <c r="Q173" s="62"/>
    </row>
    <row r="174">
      <c r="A174" s="59"/>
      <c r="B174" s="60"/>
      <c r="C174" s="60"/>
      <c r="D174" s="61"/>
      <c r="E174" s="59"/>
      <c r="F174" s="59"/>
      <c r="G174" s="59"/>
      <c r="H174" s="59"/>
      <c r="I174" s="59"/>
      <c r="J174" s="59"/>
      <c r="K174" s="59"/>
      <c r="L174" s="59"/>
      <c r="M174" s="59"/>
      <c r="N174" s="59"/>
      <c r="O174" s="59"/>
      <c r="P174" s="62"/>
      <c r="Q174" s="62"/>
    </row>
    <row r="175">
      <c r="A175" s="59"/>
      <c r="B175" s="60"/>
      <c r="C175" s="60"/>
      <c r="D175" s="61"/>
      <c r="E175" s="59"/>
      <c r="F175" s="59"/>
      <c r="G175" s="59"/>
      <c r="H175" s="59"/>
      <c r="I175" s="59"/>
      <c r="J175" s="59"/>
      <c r="K175" s="59"/>
      <c r="L175" s="59"/>
      <c r="M175" s="59"/>
      <c r="N175" s="59"/>
      <c r="O175" s="59"/>
      <c r="P175" s="62"/>
      <c r="Q175" s="62"/>
    </row>
    <row r="176">
      <c r="A176" s="59"/>
      <c r="B176" s="60"/>
      <c r="C176" s="60"/>
      <c r="D176" s="61"/>
      <c r="E176" s="59"/>
      <c r="F176" s="59"/>
      <c r="G176" s="59"/>
      <c r="H176" s="59"/>
      <c r="I176" s="59"/>
      <c r="J176" s="59"/>
      <c r="K176" s="59"/>
      <c r="L176" s="59"/>
      <c r="M176" s="59"/>
      <c r="N176" s="59"/>
      <c r="O176" s="59"/>
      <c r="P176" s="62"/>
      <c r="Q176" s="62"/>
    </row>
    <row r="177">
      <c r="A177" s="59"/>
      <c r="B177" s="60"/>
      <c r="C177" s="60"/>
      <c r="D177" s="61"/>
      <c r="E177" s="59"/>
      <c r="F177" s="59"/>
      <c r="G177" s="59"/>
      <c r="H177" s="59"/>
      <c r="I177" s="59"/>
      <c r="J177" s="59"/>
      <c r="K177" s="59"/>
      <c r="L177" s="59"/>
      <c r="M177" s="59"/>
      <c r="N177" s="59"/>
      <c r="O177" s="59"/>
      <c r="P177" s="62"/>
      <c r="Q177" s="62"/>
    </row>
    <row r="178">
      <c r="A178" s="59"/>
      <c r="B178" s="60"/>
      <c r="C178" s="60"/>
      <c r="D178" s="61"/>
      <c r="E178" s="59"/>
      <c r="F178" s="59"/>
      <c r="G178" s="59"/>
      <c r="H178" s="59"/>
      <c r="I178" s="59"/>
      <c r="J178" s="59"/>
      <c r="K178" s="59"/>
      <c r="L178" s="59"/>
      <c r="M178" s="59"/>
      <c r="N178" s="59"/>
      <c r="O178" s="59"/>
      <c r="P178" s="62"/>
      <c r="Q178" s="62"/>
    </row>
    <row r="179">
      <c r="A179" s="59"/>
      <c r="B179" s="60"/>
      <c r="C179" s="60"/>
      <c r="D179" s="61"/>
      <c r="E179" s="59"/>
      <c r="F179" s="59"/>
      <c r="G179" s="59"/>
      <c r="H179" s="59"/>
      <c r="I179" s="59"/>
      <c r="J179" s="59"/>
      <c r="K179" s="59"/>
      <c r="L179" s="59"/>
      <c r="M179" s="59"/>
      <c r="N179" s="59"/>
      <c r="O179" s="59"/>
      <c r="P179" s="62"/>
      <c r="Q179" s="62"/>
    </row>
    <row r="180">
      <c r="A180" s="59"/>
      <c r="B180" s="60"/>
      <c r="C180" s="60"/>
      <c r="D180" s="61"/>
      <c r="E180" s="59"/>
      <c r="F180" s="59"/>
      <c r="G180" s="59"/>
      <c r="H180" s="59"/>
      <c r="I180" s="59"/>
      <c r="J180" s="59"/>
      <c r="K180" s="59"/>
      <c r="L180" s="59"/>
      <c r="M180" s="59"/>
      <c r="N180" s="59"/>
      <c r="O180" s="59"/>
      <c r="P180" s="62"/>
      <c r="Q180" s="62"/>
    </row>
    <row r="181">
      <c r="A181" s="59"/>
      <c r="B181" s="60"/>
      <c r="C181" s="60"/>
      <c r="D181" s="61"/>
      <c r="E181" s="59"/>
      <c r="F181" s="59"/>
      <c r="G181" s="59"/>
      <c r="H181" s="59"/>
      <c r="I181" s="59"/>
      <c r="J181" s="59"/>
      <c r="K181" s="59"/>
      <c r="L181" s="59"/>
      <c r="M181" s="59"/>
      <c r="N181" s="59"/>
      <c r="O181" s="59"/>
      <c r="P181" s="62"/>
      <c r="Q181" s="62"/>
    </row>
    <row r="182">
      <c r="A182" s="59"/>
      <c r="B182" s="60"/>
      <c r="C182" s="60"/>
      <c r="D182" s="61"/>
      <c r="E182" s="59"/>
      <c r="F182" s="59"/>
      <c r="G182" s="59"/>
      <c r="H182" s="59"/>
      <c r="I182" s="59"/>
      <c r="J182" s="59"/>
      <c r="K182" s="59"/>
      <c r="L182" s="59"/>
      <c r="M182" s="59"/>
      <c r="N182" s="59"/>
      <c r="O182" s="59"/>
      <c r="P182" s="62"/>
      <c r="Q182" s="62"/>
    </row>
    <row r="183">
      <c r="A183" s="59"/>
      <c r="B183" s="60"/>
      <c r="C183" s="60"/>
      <c r="D183" s="61"/>
      <c r="E183" s="59"/>
      <c r="F183" s="59"/>
      <c r="G183" s="59"/>
      <c r="H183" s="59"/>
      <c r="I183" s="59"/>
      <c r="J183" s="59"/>
      <c r="K183" s="59"/>
      <c r="L183" s="59"/>
      <c r="M183" s="59"/>
      <c r="N183" s="59"/>
      <c r="O183" s="59"/>
      <c r="P183" s="62"/>
      <c r="Q183" s="62"/>
    </row>
    <row r="184">
      <c r="A184" s="59"/>
      <c r="B184" s="60"/>
      <c r="C184" s="60"/>
      <c r="D184" s="61"/>
      <c r="E184" s="59"/>
      <c r="F184" s="59"/>
      <c r="G184" s="59"/>
      <c r="H184" s="59"/>
      <c r="I184" s="59"/>
      <c r="J184" s="59"/>
      <c r="K184" s="59"/>
      <c r="L184" s="59"/>
      <c r="M184" s="59"/>
      <c r="N184" s="59"/>
      <c r="O184" s="59"/>
      <c r="P184" s="62"/>
      <c r="Q184" s="62"/>
    </row>
    <row r="185">
      <c r="A185" s="59"/>
      <c r="B185" s="60"/>
      <c r="C185" s="60"/>
      <c r="D185" s="61"/>
      <c r="E185" s="59"/>
      <c r="F185" s="59"/>
      <c r="G185" s="59"/>
      <c r="H185" s="59"/>
      <c r="I185" s="59"/>
      <c r="J185" s="59"/>
      <c r="K185" s="59"/>
      <c r="L185" s="59"/>
      <c r="M185" s="59"/>
      <c r="N185" s="59"/>
      <c r="O185" s="59"/>
      <c r="P185" s="62"/>
      <c r="Q185" s="62"/>
    </row>
    <row r="186">
      <c r="A186" s="59"/>
      <c r="B186" s="60"/>
      <c r="C186" s="60"/>
      <c r="D186" s="61"/>
      <c r="E186" s="59"/>
      <c r="F186" s="59"/>
      <c r="G186" s="59"/>
      <c r="H186" s="59"/>
      <c r="I186" s="59"/>
      <c r="J186" s="59"/>
      <c r="K186" s="59"/>
      <c r="L186" s="59"/>
      <c r="M186" s="59"/>
      <c r="N186" s="59"/>
      <c r="O186" s="59"/>
      <c r="P186" s="62"/>
      <c r="Q186" s="62"/>
    </row>
    <row r="187">
      <c r="A187" s="59"/>
      <c r="B187" s="60"/>
      <c r="C187" s="60"/>
      <c r="D187" s="61"/>
      <c r="E187" s="59"/>
      <c r="F187" s="59"/>
      <c r="G187" s="59"/>
      <c r="H187" s="59"/>
      <c r="I187" s="59"/>
      <c r="J187" s="59"/>
      <c r="K187" s="59"/>
      <c r="L187" s="59"/>
      <c r="M187" s="59"/>
      <c r="N187" s="59"/>
      <c r="O187" s="59"/>
      <c r="P187" s="62"/>
      <c r="Q187" s="62"/>
    </row>
    <row r="188">
      <c r="A188" s="59"/>
      <c r="B188" s="60"/>
      <c r="C188" s="60"/>
      <c r="D188" s="61"/>
      <c r="E188" s="59"/>
      <c r="F188" s="59"/>
      <c r="G188" s="59"/>
      <c r="H188" s="59"/>
      <c r="I188" s="59"/>
      <c r="J188" s="59"/>
      <c r="K188" s="59"/>
      <c r="L188" s="59"/>
      <c r="M188" s="59"/>
      <c r="N188" s="59"/>
      <c r="O188" s="59"/>
      <c r="P188" s="62"/>
      <c r="Q188" s="62"/>
    </row>
    <row r="189">
      <c r="A189" s="59"/>
      <c r="B189" s="60"/>
      <c r="C189" s="60"/>
      <c r="D189" s="61"/>
      <c r="E189" s="59"/>
      <c r="F189" s="59"/>
      <c r="G189" s="59"/>
      <c r="H189" s="59"/>
      <c r="I189" s="59"/>
      <c r="J189" s="59"/>
      <c r="K189" s="59"/>
      <c r="L189" s="59"/>
      <c r="M189" s="59"/>
      <c r="N189" s="59"/>
      <c r="O189" s="59"/>
      <c r="P189" s="62"/>
      <c r="Q189" s="62"/>
    </row>
    <row r="190">
      <c r="A190" s="59"/>
      <c r="B190" s="60"/>
      <c r="C190" s="60"/>
      <c r="D190" s="61"/>
      <c r="E190" s="59"/>
      <c r="F190" s="59"/>
      <c r="G190" s="59"/>
      <c r="H190" s="59"/>
      <c r="I190" s="59"/>
      <c r="J190" s="59"/>
      <c r="K190" s="59"/>
      <c r="L190" s="59"/>
      <c r="M190" s="59"/>
      <c r="N190" s="59"/>
      <c r="O190" s="59"/>
      <c r="P190" s="62"/>
      <c r="Q190" s="62"/>
    </row>
    <row r="191">
      <c r="A191" s="59"/>
      <c r="B191" s="60"/>
      <c r="C191" s="60"/>
      <c r="D191" s="61"/>
      <c r="E191" s="59"/>
      <c r="F191" s="59"/>
      <c r="G191" s="59"/>
      <c r="H191" s="59"/>
      <c r="I191" s="59"/>
      <c r="J191" s="59"/>
      <c r="K191" s="59"/>
      <c r="L191" s="59"/>
      <c r="M191" s="59"/>
      <c r="N191" s="59"/>
      <c r="O191" s="59"/>
      <c r="P191" s="62"/>
      <c r="Q191" s="62"/>
    </row>
    <row r="192">
      <c r="A192" s="59"/>
      <c r="B192" s="60"/>
      <c r="C192" s="60"/>
      <c r="D192" s="61"/>
      <c r="E192" s="59"/>
      <c r="F192" s="59"/>
      <c r="G192" s="59"/>
      <c r="H192" s="59"/>
      <c r="I192" s="59"/>
      <c r="J192" s="59"/>
      <c r="K192" s="59"/>
      <c r="L192" s="59"/>
      <c r="M192" s="59"/>
      <c r="N192" s="59"/>
      <c r="O192" s="59"/>
      <c r="P192" s="62"/>
      <c r="Q192" s="62"/>
    </row>
    <row r="193">
      <c r="A193" s="59"/>
      <c r="B193" s="60"/>
      <c r="C193" s="60"/>
      <c r="D193" s="61"/>
      <c r="E193" s="59"/>
      <c r="F193" s="59"/>
      <c r="G193" s="59"/>
      <c r="H193" s="59"/>
      <c r="I193" s="59"/>
      <c r="J193" s="59"/>
      <c r="K193" s="59"/>
      <c r="L193" s="59"/>
      <c r="M193" s="59"/>
      <c r="N193" s="59"/>
      <c r="O193" s="59"/>
      <c r="P193" s="62"/>
      <c r="Q193" s="62"/>
    </row>
    <row r="194">
      <c r="A194" s="59"/>
      <c r="B194" s="60"/>
      <c r="C194" s="60"/>
      <c r="D194" s="61"/>
      <c r="E194" s="59"/>
      <c r="F194" s="59"/>
      <c r="G194" s="59"/>
      <c r="H194" s="59"/>
      <c r="I194" s="59"/>
      <c r="J194" s="59"/>
      <c r="K194" s="59"/>
      <c r="L194" s="59"/>
      <c r="M194" s="59"/>
      <c r="N194" s="59"/>
      <c r="O194" s="59"/>
      <c r="P194" s="62"/>
      <c r="Q194" s="62"/>
    </row>
    <row r="195">
      <c r="A195" s="59"/>
      <c r="B195" s="60"/>
      <c r="C195" s="60"/>
      <c r="D195" s="61"/>
      <c r="E195" s="59"/>
      <c r="F195" s="59"/>
      <c r="G195" s="59"/>
      <c r="H195" s="59"/>
      <c r="I195" s="59"/>
      <c r="J195" s="59"/>
      <c r="K195" s="59"/>
      <c r="L195" s="59"/>
      <c r="M195" s="59"/>
      <c r="N195" s="59"/>
      <c r="O195" s="59"/>
      <c r="P195" s="62"/>
      <c r="Q195" s="62"/>
    </row>
    <row r="196">
      <c r="A196" s="59"/>
      <c r="B196" s="60"/>
      <c r="C196" s="60"/>
      <c r="D196" s="61"/>
      <c r="E196" s="59"/>
      <c r="F196" s="59"/>
      <c r="G196" s="59"/>
      <c r="H196" s="59"/>
      <c r="I196" s="59"/>
      <c r="J196" s="59"/>
      <c r="K196" s="59"/>
      <c r="L196" s="59"/>
      <c r="M196" s="59"/>
      <c r="N196" s="59"/>
      <c r="O196" s="59"/>
      <c r="P196" s="62"/>
      <c r="Q196" s="62"/>
    </row>
    <row r="197">
      <c r="A197" s="59"/>
      <c r="B197" s="60"/>
      <c r="C197" s="60"/>
      <c r="D197" s="61"/>
      <c r="E197" s="59"/>
      <c r="F197" s="59"/>
      <c r="G197" s="59"/>
      <c r="H197" s="59"/>
      <c r="I197" s="59"/>
      <c r="J197" s="59"/>
      <c r="K197" s="59"/>
      <c r="L197" s="59"/>
      <c r="M197" s="59"/>
      <c r="N197" s="59"/>
      <c r="O197" s="59"/>
      <c r="P197" s="62"/>
      <c r="Q197" s="62"/>
    </row>
    <row r="198">
      <c r="A198" s="59"/>
      <c r="B198" s="60"/>
      <c r="C198" s="60"/>
      <c r="D198" s="61"/>
      <c r="E198" s="59"/>
      <c r="F198" s="59"/>
      <c r="G198" s="59"/>
      <c r="H198" s="59"/>
      <c r="I198" s="59"/>
      <c r="J198" s="59"/>
      <c r="K198" s="59"/>
      <c r="L198" s="59"/>
      <c r="M198" s="59"/>
      <c r="N198" s="59"/>
      <c r="O198" s="59"/>
      <c r="P198" s="62"/>
      <c r="Q198" s="62"/>
    </row>
    <row r="199">
      <c r="A199" s="59"/>
      <c r="B199" s="60"/>
      <c r="C199" s="60"/>
      <c r="D199" s="61"/>
      <c r="E199" s="59"/>
      <c r="F199" s="59"/>
      <c r="G199" s="59"/>
      <c r="H199" s="59"/>
      <c r="I199" s="59"/>
      <c r="J199" s="59"/>
      <c r="K199" s="59"/>
      <c r="L199" s="59"/>
      <c r="M199" s="59"/>
      <c r="N199" s="59"/>
      <c r="O199" s="59"/>
      <c r="P199" s="62"/>
      <c r="Q199" s="62"/>
    </row>
    <row r="200">
      <c r="A200" s="59"/>
      <c r="B200" s="60"/>
      <c r="C200" s="60"/>
      <c r="D200" s="61"/>
      <c r="E200" s="59"/>
      <c r="F200" s="59"/>
      <c r="G200" s="59"/>
      <c r="H200" s="59"/>
      <c r="I200" s="59"/>
      <c r="J200" s="59"/>
      <c r="K200" s="59"/>
      <c r="L200" s="59"/>
      <c r="M200" s="59"/>
      <c r="N200" s="59"/>
      <c r="O200" s="59"/>
      <c r="P200" s="62"/>
      <c r="Q200" s="62"/>
    </row>
    <row r="201">
      <c r="A201" s="59"/>
      <c r="B201" s="60"/>
      <c r="C201" s="60"/>
      <c r="D201" s="61"/>
      <c r="E201" s="59"/>
      <c r="F201" s="59"/>
      <c r="G201" s="59"/>
      <c r="H201" s="59"/>
      <c r="I201" s="59"/>
      <c r="J201" s="59"/>
      <c r="K201" s="59"/>
      <c r="L201" s="59"/>
      <c r="M201" s="59"/>
      <c r="N201" s="59"/>
      <c r="O201" s="59"/>
      <c r="P201" s="62"/>
      <c r="Q201" s="62"/>
    </row>
    <row r="202">
      <c r="A202" s="59"/>
      <c r="B202" s="60"/>
      <c r="C202" s="60"/>
      <c r="D202" s="61"/>
      <c r="E202" s="59"/>
      <c r="F202" s="59"/>
      <c r="G202" s="59"/>
      <c r="H202" s="59"/>
      <c r="I202" s="59"/>
      <c r="J202" s="59"/>
      <c r="K202" s="59"/>
      <c r="L202" s="59"/>
      <c r="M202" s="59"/>
      <c r="N202" s="59"/>
      <c r="O202" s="59"/>
      <c r="P202" s="62"/>
      <c r="Q202" s="62"/>
    </row>
    <row r="203">
      <c r="A203" s="59"/>
      <c r="B203" s="60"/>
      <c r="C203" s="60"/>
      <c r="D203" s="61"/>
      <c r="E203" s="59"/>
      <c r="F203" s="59"/>
      <c r="G203" s="59"/>
      <c r="H203" s="59"/>
      <c r="I203" s="59"/>
      <c r="J203" s="59"/>
      <c r="K203" s="59"/>
      <c r="L203" s="59"/>
      <c r="M203" s="59"/>
      <c r="N203" s="59"/>
      <c r="O203" s="59"/>
      <c r="P203" s="62"/>
      <c r="Q203" s="62"/>
    </row>
    <row r="204">
      <c r="A204" s="59"/>
      <c r="B204" s="60"/>
      <c r="C204" s="60"/>
      <c r="D204" s="61"/>
      <c r="E204" s="59"/>
      <c r="F204" s="59"/>
      <c r="G204" s="59"/>
      <c r="H204" s="59"/>
      <c r="I204" s="59"/>
      <c r="J204" s="59"/>
      <c r="K204" s="59"/>
      <c r="L204" s="59"/>
      <c r="M204" s="59"/>
      <c r="N204" s="59"/>
      <c r="O204" s="59"/>
      <c r="P204" s="62"/>
      <c r="Q204" s="62"/>
    </row>
    <row r="205">
      <c r="A205" s="59"/>
      <c r="B205" s="60"/>
      <c r="C205" s="60"/>
      <c r="D205" s="61"/>
      <c r="E205" s="59"/>
      <c r="F205" s="59"/>
      <c r="G205" s="59"/>
      <c r="H205" s="59"/>
      <c r="I205" s="59"/>
      <c r="J205" s="59"/>
      <c r="K205" s="59"/>
      <c r="L205" s="59"/>
      <c r="M205" s="59"/>
      <c r="N205" s="59"/>
      <c r="O205" s="59"/>
      <c r="P205" s="62"/>
      <c r="Q205" s="62"/>
    </row>
    <row r="206">
      <c r="A206" s="59"/>
      <c r="B206" s="60"/>
      <c r="C206" s="60"/>
      <c r="D206" s="61"/>
      <c r="E206" s="59"/>
      <c r="F206" s="59"/>
      <c r="G206" s="59"/>
      <c r="H206" s="59"/>
      <c r="I206" s="59"/>
      <c r="J206" s="59"/>
      <c r="K206" s="59"/>
      <c r="L206" s="59"/>
      <c r="M206" s="59"/>
      <c r="N206" s="59"/>
      <c r="O206" s="59"/>
      <c r="P206" s="62"/>
      <c r="Q206" s="62"/>
    </row>
    <row r="207">
      <c r="A207" s="59"/>
      <c r="B207" s="60"/>
      <c r="C207" s="60"/>
      <c r="D207" s="61"/>
      <c r="E207" s="59"/>
      <c r="F207" s="59"/>
      <c r="G207" s="59"/>
      <c r="H207" s="59"/>
      <c r="I207" s="59"/>
      <c r="J207" s="59"/>
      <c r="K207" s="59"/>
      <c r="L207" s="59"/>
      <c r="M207" s="59"/>
      <c r="N207" s="59"/>
      <c r="O207" s="59"/>
      <c r="P207" s="62"/>
      <c r="Q207" s="62"/>
    </row>
    <row r="208">
      <c r="A208" s="59"/>
      <c r="B208" s="60"/>
      <c r="C208" s="60"/>
      <c r="D208" s="61"/>
      <c r="E208" s="59"/>
      <c r="F208" s="59"/>
      <c r="G208" s="59"/>
      <c r="H208" s="59"/>
      <c r="I208" s="59"/>
      <c r="J208" s="59"/>
      <c r="K208" s="59"/>
      <c r="L208" s="59"/>
      <c r="M208" s="59"/>
      <c r="N208" s="59"/>
      <c r="O208" s="59"/>
      <c r="P208" s="62"/>
      <c r="Q208" s="62"/>
    </row>
    <row r="209">
      <c r="A209" s="59"/>
      <c r="B209" s="60"/>
      <c r="C209" s="60"/>
      <c r="D209" s="61"/>
      <c r="E209" s="59"/>
      <c r="F209" s="59"/>
      <c r="G209" s="59"/>
      <c r="H209" s="59"/>
      <c r="I209" s="59"/>
      <c r="J209" s="59"/>
      <c r="K209" s="59"/>
      <c r="L209" s="59"/>
      <c r="M209" s="59"/>
      <c r="N209" s="59"/>
      <c r="O209" s="59"/>
      <c r="P209" s="62"/>
      <c r="Q209" s="62"/>
    </row>
    <row r="210">
      <c r="A210" s="59"/>
      <c r="B210" s="60"/>
      <c r="C210" s="60"/>
      <c r="D210" s="61"/>
      <c r="E210" s="59"/>
      <c r="F210" s="59"/>
      <c r="G210" s="59"/>
      <c r="H210" s="59"/>
      <c r="I210" s="59"/>
      <c r="J210" s="59"/>
      <c r="K210" s="59"/>
      <c r="L210" s="59"/>
      <c r="M210" s="59"/>
      <c r="N210" s="59"/>
      <c r="O210" s="59"/>
      <c r="P210" s="62"/>
      <c r="Q210" s="62"/>
    </row>
    <row r="211">
      <c r="A211" s="59"/>
      <c r="B211" s="60"/>
      <c r="C211" s="60"/>
      <c r="D211" s="61"/>
      <c r="E211" s="59"/>
      <c r="F211" s="59"/>
      <c r="G211" s="59"/>
      <c r="H211" s="59"/>
      <c r="I211" s="59"/>
      <c r="J211" s="59"/>
      <c r="K211" s="59"/>
      <c r="L211" s="59"/>
      <c r="M211" s="59"/>
      <c r="N211" s="59"/>
      <c r="O211" s="59"/>
      <c r="P211" s="62"/>
      <c r="Q211" s="62"/>
    </row>
    <row r="212">
      <c r="A212" s="59"/>
      <c r="B212" s="60"/>
      <c r="C212" s="60"/>
      <c r="D212" s="61"/>
      <c r="E212" s="59"/>
      <c r="F212" s="59"/>
      <c r="G212" s="59"/>
      <c r="H212" s="59"/>
      <c r="I212" s="59"/>
      <c r="J212" s="59"/>
      <c r="K212" s="59"/>
      <c r="L212" s="59"/>
      <c r="M212" s="59"/>
      <c r="N212" s="59"/>
      <c r="O212" s="59"/>
      <c r="P212" s="62"/>
      <c r="Q212" s="62"/>
    </row>
    <row r="213">
      <c r="A213" s="59"/>
      <c r="B213" s="60"/>
      <c r="C213" s="60"/>
      <c r="D213" s="61"/>
      <c r="E213" s="59"/>
      <c r="F213" s="59"/>
      <c r="G213" s="59"/>
      <c r="H213" s="59"/>
      <c r="I213" s="59"/>
      <c r="J213" s="59"/>
      <c r="K213" s="59"/>
      <c r="L213" s="59"/>
      <c r="M213" s="59"/>
      <c r="N213" s="59"/>
      <c r="O213" s="59"/>
      <c r="P213" s="62"/>
      <c r="Q213" s="62"/>
    </row>
    <row r="214">
      <c r="A214" s="59"/>
      <c r="B214" s="60"/>
      <c r="C214" s="60"/>
      <c r="D214" s="61"/>
      <c r="E214" s="59"/>
      <c r="F214" s="59"/>
      <c r="G214" s="59"/>
      <c r="H214" s="59"/>
      <c r="I214" s="59"/>
      <c r="J214" s="59"/>
      <c r="K214" s="59"/>
      <c r="L214" s="59"/>
      <c r="M214" s="59"/>
      <c r="N214" s="59"/>
      <c r="O214" s="59"/>
      <c r="P214" s="62"/>
      <c r="Q214" s="62"/>
    </row>
    <row r="215">
      <c r="A215" s="59"/>
      <c r="B215" s="60"/>
      <c r="C215" s="60"/>
      <c r="D215" s="61"/>
      <c r="E215" s="59"/>
      <c r="F215" s="59"/>
      <c r="G215" s="59"/>
      <c r="H215" s="59"/>
      <c r="I215" s="59"/>
      <c r="J215" s="59"/>
      <c r="K215" s="59"/>
      <c r="L215" s="59"/>
      <c r="M215" s="59"/>
      <c r="N215" s="59"/>
      <c r="O215" s="59"/>
      <c r="P215" s="62"/>
      <c r="Q215" s="62"/>
    </row>
    <row r="216">
      <c r="A216" s="59"/>
      <c r="B216" s="60"/>
      <c r="C216" s="60"/>
      <c r="D216" s="61"/>
      <c r="E216" s="59"/>
      <c r="F216" s="59"/>
      <c r="G216" s="59"/>
      <c r="H216" s="59"/>
      <c r="I216" s="59"/>
      <c r="J216" s="59"/>
      <c r="K216" s="59"/>
      <c r="L216" s="59"/>
      <c r="M216" s="59"/>
      <c r="N216" s="59"/>
      <c r="O216" s="59"/>
      <c r="P216" s="62"/>
      <c r="Q216" s="62"/>
    </row>
    <row r="217">
      <c r="A217" s="59"/>
      <c r="B217" s="60"/>
      <c r="C217" s="60"/>
      <c r="D217" s="61"/>
      <c r="E217" s="59"/>
      <c r="F217" s="59"/>
      <c r="G217" s="59"/>
      <c r="H217" s="59"/>
      <c r="I217" s="59"/>
      <c r="J217" s="59"/>
      <c r="K217" s="59"/>
      <c r="L217" s="59"/>
      <c r="M217" s="59"/>
      <c r="N217" s="59"/>
      <c r="O217" s="59"/>
      <c r="P217" s="62"/>
      <c r="Q217" s="62"/>
    </row>
    <row r="218">
      <c r="A218" s="59"/>
      <c r="B218" s="60"/>
      <c r="C218" s="60"/>
      <c r="D218" s="61"/>
      <c r="E218" s="59"/>
      <c r="F218" s="59"/>
      <c r="G218" s="59"/>
      <c r="H218" s="59"/>
      <c r="I218" s="59"/>
      <c r="J218" s="59"/>
      <c r="K218" s="59"/>
      <c r="L218" s="59"/>
      <c r="M218" s="59"/>
      <c r="N218" s="59"/>
      <c r="O218" s="59"/>
      <c r="P218" s="62"/>
      <c r="Q218" s="62"/>
    </row>
    <row r="219">
      <c r="A219" s="59"/>
      <c r="B219" s="60"/>
      <c r="C219" s="60"/>
      <c r="D219" s="61"/>
      <c r="E219" s="59"/>
      <c r="F219" s="59"/>
      <c r="G219" s="59"/>
      <c r="H219" s="59"/>
      <c r="I219" s="59"/>
      <c r="J219" s="59"/>
      <c r="K219" s="59"/>
      <c r="L219" s="59"/>
      <c r="M219" s="59"/>
      <c r="N219" s="59"/>
      <c r="O219" s="59"/>
      <c r="P219" s="62"/>
      <c r="Q219" s="62"/>
    </row>
    <row r="220">
      <c r="A220" s="59"/>
      <c r="B220" s="60"/>
      <c r="C220" s="60"/>
      <c r="D220" s="61"/>
      <c r="E220" s="59"/>
      <c r="F220" s="59"/>
      <c r="G220" s="59"/>
      <c r="H220" s="59"/>
      <c r="I220" s="59"/>
      <c r="J220" s="59"/>
      <c r="K220" s="59"/>
      <c r="L220" s="59"/>
      <c r="M220" s="59"/>
      <c r="N220" s="59"/>
      <c r="O220" s="59"/>
      <c r="P220" s="62"/>
      <c r="Q220" s="62"/>
    </row>
    <row r="221">
      <c r="A221" s="59"/>
      <c r="B221" s="60"/>
      <c r="C221" s="60"/>
      <c r="D221" s="61"/>
      <c r="E221" s="59"/>
      <c r="F221" s="59"/>
      <c r="G221" s="59"/>
      <c r="H221" s="59"/>
      <c r="I221" s="59"/>
      <c r="J221" s="59"/>
      <c r="K221" s="59"/>
      <c r="L221" s="59"/>
      <c r="M221" s="59"/>
      <c r="N221" s="59"/>
      <c r="O221" s="59"/>
      <c r="P221" s="62"/>
      <c r="Q221" s="62"/>
    </row>
    <row r="222">
      <c r="A222" s="59"/>
      <c r="B222" s="60"/>
      <c r="C222" s="60"/>
      <c r="D222" s="61"/>
      <c r="E222" s="59"/>
      <c r="F222" s="59"/>
      <c r="G222" s="59"/>
      <c r="H222" s="59"/>
      <c r="I222" s="59"/>
      <c r="J222" s="59"/>
      <c r="K222" s="59"/>
      <c r="L222" s="59"/>
      <c r="M222" s="59"/>
      <c r="N222" s="59"/>
      <c r="O222" s="59"/>
      <c r="P222" s="62"/>
      <c r="Q222" s="62"/>
    </row>
    <row r="223">
      <c r="A223" s="59"/>
      <c r="B223" s="60"/>
      <c r="C223" s="60"/>
      <c r="D223" s="61"/>
      <c r="E223" s="59"/>
      <c r="F223" s="59"/>
      <c r="G223" s="59"/>
      <c r="H223" s="59"/>
      <c r="I223" s="59"/>
      <c r="J223" s="59"/>
      <c r="K223" s="59"/>
      <c r="L223" s="59"/>
      <c r="M223" s="59"/>
      <c r="N223" s="59"/>
      <c r="O223" s="59"/>
      <c r="P223" s="62"/>
      <c r="Q223" s="62"/>
    </row>
    <row r="224">
      <c r="A224" s="59"/>
      <c r="B224" s="60"/>
      <c r="C224" s="60"/>
      <c r="D224" s="61"/>
      <c r="E224" s="59"/>
      <c r="F224" s="59"/>
      <c r="G224" s="59"/>
      <c r="H224" s="59"/>
      <c r="I224" s="59"/>
      <c r="J224" s="59"/>
      <c r="K224" s="59"/>
      <c r="L224" s="59"/>
      <c r="M224" s="59"/>
      <c r="N224" s="59"/>
      <c r="O224" s="59"/>
      <c r="P224" s="62"/>
      <c r="Q224" s="62"/>
    </row>
    <row r="225">
      <c r="A225" s="59"/>
      <c r="B225" s="60"/>
      <c r="C225" s="60"/>
      <c r="D225" s="61"/>
      <c r="E225" s="59"/>
      <c r="F225" s="59"/>
      <c r="G225" s="59"/>
      <c r="H225" s="59"/>
      <c r="I225" s="59"/>
      <c r="J225" s="59"/>
      <c r="K225" s="59"/>
      <c r="L225" s="59"/>
      <c r="M225" s="59"/>
      <c r="N225" s="59"/>
      <c r="O225" s="59"/>
      <c r="P225" s="62"/>
      <c r="Q225" s="62"/>
    </row>
    <row r="226">
      <c r="A226" s="59"/>
      <c r="B226" s="60"/>
      <c r="C226" s="60"/>
      <c r="D226" s="61"/>
      <c r="E226" s="59"/>
      <c r="F226" s="59"/>
      <c r="G226" s="59"/>
      <c r="H226" s="59"/>
      <c r="I226" s="59"/>
      <c r="J226" s="59"/>
      <c r="K226" s="59"/>
      <c r="L226" s="59"/>
      <c r="M226" s="59"/>
      <c r="N226" s="59"/>
      <c r="O226" s="59"/>
      <c r="P226" s="62"/>
      <c r="Q226" s="62"/>
    </row>
    <row r="227">
      <c r="A227" s="59"/>
      <c r="B227" s="60"/>
      <c r="C227" s="60"/>
      <c r="D227" s="61"/>
      <c r="E227" s="59"/>
      <c r="F227" s="59"/>
      <c r="G227" s="59"/>
      <c r="H227" s="59"/>
      <c r="I227" s="59"/>
      <c r="J227" s="59"/>
      <c r="K227" s="59"/>
      <c r="L227" s="59"/>
      <c r="M227" s="59"/>
      <c r="N227" s="59"/>
      <c r="O227" s="59"/>
      <c r="P227" s="62"/>
      <c r="Q227" s="62"/>
    </row>
    <row r="228">
      <c r="A228" s="59"/>
      <c r="B228" s="60"/>
      <c r="C228" s="60"/>
      <c r="D228" s="61"/>
      <c r="E228" s="59"/>
      <c r="F228" s="59"/>
      <c r="G228" s="59"/>
      <c r="H228" s="59"/>
      <c r="I228" s="59"/>
      <c r="J228" s="59"/>
      <c r="K228" s="59"/>
      <c r="L228" s="59"/>
      <c r="M228" s="59"/>
      <c r="N228" s="59"/>
      <c r="O228" s="59"/>
      <c r="P228" s="62"/>
      <c r="Q228" s="62"/>
    </row>
    <row r="229">
      <c r="A229" s="59"/>
      <c r="B229" s="60"/>
      <c r="C229" s="60"/>
      <c r="D229" s="61"/>
      <c r="E229" s="59"/>
      <c r="F229" s="59"/>
      <c r="G229" s="59"/>
      <c r="H229" s="59"/>
      <c r="I229" s="59"/>
      <c r="J229" s="59"/>
      <c r="K229" s="59"/>
      <c r="L229" s="59"/>
      <c r="M229" s="59"/>
      <c r="N229" s="59"/>
      <c r="O229" s="59"/>
      <c r="P229" s="62"/>
      <c r="Q229" s="62"/>
    </row>
    <row r="230">
      <c r="A230" s="59"/>
      <c r="B230" s="60"/>
      <c r="C230" s="60"/>
      <c r="D230" s="61"/>
      <c r="E230" s="59"/>
      <c r="F230" s="59"/>
      <c r="G230" s="59"/>
      <c r="H230" s="59"/>
      <c r="I230" s="59"/>
      <c r="J230" s="59"/>
      <c r="K230" s="59"/>
      <c r="L230" s="59"/>
      <c r="M230" s="59"/>
      <c r="N230" s="59"/>
      <c r="O230" s="59"/>
      <c r="P230" s="62"/>
      <c r="Q230" s="62"/>
    </row>
    <row r="231">
      <c r="A231" s="59"/>
      <c r="B231" s="60"/>
      <c r="C231" s="60"/>
      <c r="D231" s="61"/>
      <c r="E231" s="59"/>
      <c r="F231" s="59"/>
      <c r="G231" s="59"/>
      <c r="H231" s="59"/>
      <c r="I231" s="59"/>
      <c r="J231" s="59"/>
      <c r="K231" s="59"/>
      <c r="L231" s="59"/>
      <c r="M231" s="59"/>
      <c r="N231" s="59"/>
      <c r="O231" s="59"/>
      <c r="P231" s="62"/>
      <c r="Q231" s="62"/>
    </row>
    <row r="232">
      <c r="A232" s="59"/>
      <c r="B232" s="60"/>
      <c r="C232" s="60"/>
      <c r="D232" s="61"/>
      <c r="E232" s="59"/>
      <c r="F232" s="59"/>
      <c r="G232" s="59"/>
      <c r="H232" s="59"/>
      <c r="I232" s="59"/>
      <c r="J232" s="59"/>
      <c r="K232" s="59"/>
      <c r="L232" s="59"/>
      <c r="M232" s="59"/>
      <c r="N232" s="59"/>
      <c r="O232" s="59"/>
      <c r="P232" s="62"/>
      <c r="Q232" s="62"/>
    </row>
    <row r="233">
      <c r="A233" s="59"/>
      <c r="B233" s="60"/>
      <c r="C233" s="60"/>
      <c r="D233" s="61"/>
      <c r="E233" s="59"/>
      <c r="F233" s="59"/>
      <c r="G233" s="59"/>
      <c r="H233" s="59"/>
      <c r="I233" s="59"/>
      <c r="J233" s="59"/>
      <c r="K233" s="59"/>
      <c r="L233" s="59"/>
      <c r="M233" s="59"/>
      <c r="N233" s="59"/>
      <c r="O233" s="59"/>
      <c r="P233" s="62"/>
      <c r="Q233" s="62"/>
    </row>
    <row r="234">
      <c r="A234" s="59"/>
      <c r="B234" s="60"/>
      <c r="C234" s="60"/>
      <c r="D234" s="61"/>
      <c r="E234" s="59"/>
      <c r="F234" s="59"/>
      <c r="G234" s="59"/>
      <c r="H234" s="59"/>
      <c r="I234" s="59"/>
      <c r="J234" s="59"/>
      <c r="K234" s="59"/>
      <c r="L234" s="59"/>
      <c r="M234" s="59"/>
      <c r="N234" s="59"/>
      <c r="O234" s="59"/>
      <c r="P234" s="62"/>
      <c r="Q234" s="62"/>
    </row>
    <row r="235">
      <c r="A235" s="59"/>
      <c r="B235" s="60"/>
      <c r="C235" s="60"/>
      <c r="D235" s="61"/>
      <c r="E235" s="59"/>
      <c r="F235" s="59"/>
      <c r="G235" s="59"/>
      <c r="H235" s="59"/>
      <c r="I235" s="59"/>
      <c r="J235" s="59"/>
      <c r="K235" s="59"/>
      <c r="L235" s="59"/>
      <c r="M235" s="59"/>
      <c r="N235" s="59"/>
      <c r="O235" s="59"/>
      <c r="P235" s="62"/>
      <c r="Q235" s="62"/>
    </row>
    <row r="236">
      <c r="A236" s="59"/>
      <c r="B236" s="60"/>
      <c r="C236" s="60"/>
      <c r="D236" s="61"/>
      <c r="E236" s="59"/>
      <c r="F236" s="59"/>
      <c r="G236" s="59"/>
      <c r="H236" s="59"/>
      <c r="I236" s="59"/>
      <c r="J236" s="59"/>
      <c r="K236" s="59"/>
      <c r="L236" s="59"/>
      <c r="M236" s="59"/>
      <c r="N236" s="59"/>
      <c r="O236" s="59"/>
      <c r="P236" s="62"/>
      <c r="Q236" s="62"/>
    </row>
    <row r="237">
      <c r="A237" s="59"/>
      <c r="B237" s="60"/>
      <c r="C237" s="60"/>
      <c r="D237" s="61"/>
      <c r="E237" s="59"/>
      <c r="F237" s="59"/>
      <c r="G237" s="59"/>
      <c r="H237" s="59"/>
      <c r="I237" s="59"/>
      <c r="J237" s="59"/>
      <c r="K237" s="59"/>
      <c r="L237" s="59"/>
      <c r="M237" s="59"/>
      <c r="N237" s="59"/>
      <c r="O237" s="59"/>
      <c r="P237" s="62"/>
      <c r="Q237" s="62"/>
    </row>
    <row r="238">
      <c r="A238" s="59"/>
      <c r="B238" s="60"/>
      <c r="C238" s="60"/>
      <c r="D238" s="61"/>
      <c r="E238" s="59"/>
      <c r="F238" s="59"/>
      <c r="G238" s="59"/>
      <c r="H238" s="59"/>
      <c r="I238" s="59"/>
      <c r="J238" s="59"/>
      <c r="K238" s="59"/>
      <c r="L238" s="59"/>
      <c r="M238" s="59"/>
      <c r="N238" s="59"/>
      <c r="O238" s="59"/>
      <c r="P238" s="62"/>
      <c r="Q238" s="62"/>
    </row>
    <row r="239">
      <c r="A239" s="59"/>
      <c r="B239" s="60"/>
      <c r="C239" s="60"/>
      <c r="D239" s="61"/>
      <c r="E239" s="59"/>
      <c r="F239" s="59"/>
      <c r="G239" s="59"/>
      <c r="H239" s="59"/>
      <c r="I239" s="59"/>
      <c r="J239" s="59"/>
      <c r="K239" s="59"/>
      <c r="L239" s="59"/>
      <c r="M239" s="59"/>
      <c r="N239" s="59"/>
      <c r="O239" s="59"/>
      <c r="P239" s="62"/>
      <c r="Q239" s="62"/>
    </row>
    <row r="240">
      <c r="A240" s="59"/>
      <c r="B240" s="60"/>
      <c r="C240" s="60"/>
      <c r="D240" s="61"/>
      <c r="E240" s="59"/>
      <c r="F240" s="59"/>
      <c r="G240" s="59"/>
      <c r="H240" s="59"/>
      <c r="I240" s="59"/>
      <c r="J240" s="59"/>
      <c r="K240" s="59"/>
      <c r="L240" s="59"/>
      <c r="M240" s="59"/>
      <c r="N240" s="59"/>
      <c r="O240" s="59"/>
      <c r="P240" s="62"/>
      <c r="Q240" s="62"/>
    </row>
    <row r="241">
      <c r="A241" s="59"/>
      <c r="B241" s="60"/>
      <c r="C241" s="60"/>
      <c r="D241" s="61"/>
      <c r="E241" s="59"/>
      <c r="F241" s="59"/>
      <c r="G241" s="59"/>
      <c r="H241" s="59"/>
      <c r="I241" s="59"/>
      <c r="J241" s="59"/>
      <c r="K241" s="59"/>
      <c r="L241" s="59"/>
      <c r="M241" s="59"/>
      <c r="N241" s="59"/>
      <c r="O241" s="59"/>
      <c r="P241" s="62"/>
      <c r="Q241" s="62"/>
    </row>
    <row r="242">
      <c r="A242" s="59"/>
      <c r="B242" s="60"/>
      <c r="C242" s="60"/>
      <c r="D242" s="61"/>
      <c r="E242" s="59"/>
      <c r="F242" s="59"/>
      <c r="G242" s="59"/>
      <c r="H242" s="59"/>
      <c r="I242" s="59"/>
      <c r="J242" s="59"/>
      <c r="K242" s="59"/>
      <c r="L242" s="59"/>
      <c r="M242" s="59"/>
      <c r="N242" s="59"/>
      <c r="O242" s="59"/>
      <c r="P242" s="62"/>
      <c r="Q242" s="62"/>
    </row>
    <row r="243">
      <c r="A243" s="59"/>
      <c r="B243" s="60"/>
      <c r="C243" s="60"/>
      <c r="D243" s="61"/>
      <c r="E243" s="59"/>
      <c r="F243" s="59"/>
      <c r="G243" s="59"/>
      <c r="H243" s="59"/>
      <c r="I243" s="59"/>
      <c r="J243" s="59"/>
      <c r="K243" s="59"/>
      <c r="L243" s="59"/>
      <c r="M243" s="59"/>
      <c r="N243" s="59"/>
      <c r="O243" s="59"/>
      <c r="P243" s="62"/>
      <c r="Q243" s="62"/>
    </row>
    <row r="244">
      <c r="A244" s="59"/>
      <c r="B244" s="60"/>
      <c r="C244" s="60"/>
      <c r="D244" s="61"/>
      <c r="E244" s="59"/>
      <c r="F244" s="59"/>
      <c r="G244" s="59"/>
      <c r="H244" s="59"/>
      <c r="I244" s="59"/>
      <c r="J244" s="59"/>
      <c r="K244" s="59"/>
      <c r="L244" s="59"/>
      <c r="M244" s="59"/>
      <c r="N244" s="59"/>
      <c r="O244" s="59"/>
      <c r="P244" s="62"/>
      <c r="Q244" s="62"/>
    </row>
    <row r="245">
      <c r="A245" s="59"/>
      <c r="B245" s="60"/>
      <c r="C245" s="60"/>
      <c r="D245" s="61"/>
      <c r="E245" s="59"/>
      <c r="F245" s="59"/>
      <c r="G245" s="59"/>
      <c r="H245" s="59"/>
      <c r="I245" s="59"/>
      <c r="J245" s="59"/>
      <c r="K245" s="59"/>
      <c r="L245" s="59"/>
      <c r="M245" s="59"/>
      <c r="N245" s="59"/>
      <c r="O245" s="59"/>
      <c r="P245" s="62"/>
      <c r="Q245" s="62"/>
    </row>
    <row r="246">
      <c r="A246" s="59"/>
      <c r="B246" s="60"/>
      <c r="C246" s="60"/>
      <c r="D246" s="61"/>
      <c r="E246" s="59"/>
      <c r="F246" s="59"/>
      <c r="G246" s="59"/>
      <c r="H246" s="59"/>
      <c r="I246" s="59"/>
      <c r="J246" s="59"/>
      <c r="K246" s="59"/>
      <c r="L246" s="59"/>
      <c r="M246" s="59"/>
      <c r="N246" s="59"/>
      <c r="O246" s="59"/>
      <c r="P246" s="62"/>
      <c r="Q246" s="62"/>
    </row>
    <row r="247">
      <c r="A247" s="59"/>
      <c r="B247" s="60"/>
      <c r="C247" s="60"/>
      <c r="D247" s="61"/>
      <c r="E247" s="59"/>
      <c r="F247" s="59"/>
      <c r="G247" s="59"/>
      <c r="H247" s="59"/>
      <c r="I247" s="59"/>
      <c r="J247" s="59"/>
      <c r="K247" s="59"/>
      <c r="L247" s="59"/>
      <c r="M247" s="59"/>
      <c r="N247" s="59"/>
      <c r="O247" s="59"/>
      <c r="P247" s="62"/>
      <c r="Q247" s="62"/>
    </row>
    <row r="248">
      <c r="A248" s="59"/>
      <c r="B248" s="60"/>
      <c r="C248" s="60"/>
      <c r="D248" s="61"/>
      <c r="E248" s="59"/>
      <c r="F248" s="59"/>
      <c r="G248" s="59"/>
      <c r="H248" s="59"/>
      <c r="I248" s="59"/>
      <c r="J248" s="59"/>
      <c r="K248" s="59"/>
      <c r="L248" s="59"/>
      <c r="M248" s="59"/>
      <c r="N248" s="59"/>
      <c r="O248" s="59"/>
      <c r="P248" s="62"/>
      <c r="Q248" s="62"/>
    </row>
    <row r="249">
      <c r="A249" s="59"/>
      <c r="B249" s="60"/>
      <c r="C249" s="60"/>
      <c r="D249" s="61"/>
      <c r="E249" s="59"/>
      <c r="F249" s="59"/>
      <c r="G249" s="59"/>
      <c r="H249" s="59"/>
      <c r="I249" s="59"/>
      <c r="J249" s="59"/>
      <c r="K249" s="59"/>
      <c r="L249" s="59"/>
      <c r="M249" s="59"/>
      <c r="N249" s="59"/>
      <c r="O249" s="59"/>
      <c r="P249" s="62"/>
      <c r="Q249" s="62"/>
    </row>
    <row r="250">
      <c r="A250" s="59"/>
      <c r="B250" s="60"/>
      <c r="C250" s="60"/>
      <c r="D250" s="61"/>
      <c r="E250" s="59"/>
      <c r="F250" s="59"/>
      <c r="G250" s="59"/>
      <c r="H250" s="59"/>
      <c r="I250" s="59"/>
      <c r="J250" s="59"/>
      <c r="K250" s="59"/>
      <c r="L250" s="59"/>
      <c r="M250" s="59"/>
      <c r="N250" s="59"/>
      <c r="O250" s="59"/>
      <c r="P250" s="62"/>
      <c r="Q250" s="62"/>
    </row>
    <row r="251">
      <c r="A251" s="59"/>
      <c r="B251" s="60"/>
      <c r="C251" s="60"/>
      <c r="D251" s="61"/>
      <c r="E251" s="59"/>
      <c r="F251" s="59"/>
      <c r="G251" s="59"/>
      <c r="H251" s="59"/>
      <c r="I251" s="59"/>
      <c r="J251" s="59"/>
      <c r="K251" s="59"/>
      <c r="L251" s="59"/>
      <c r="M251" s="59"/>
      <c r="N251" s="59"/>
      <c r="O251" s="59"/>
      <c r="P251" s="62"/>
      <c r="Q251" s="62"/>
    </row>
    <row r="252">
      <c r="A252" s="59"/>
      <c r="B252" s="60"/>
      <c r="C252" s="60"/>
      <c r="D252" s="61"/>
      <c r="E252" s="59"/>
      <c r="F252" s="59"/>
      <c r="G252" s="59"/>
      <c r="H252" s="59"/>
      <c r="I252" s="59"/>
      <c r="J252" s="59"/>
      <c r="K252" s="59"/>
      <c r="L252" s="59"/>
      <c r="M252" s="59"/>
      <c r="N252" s="59"/>
      <c r="O252" s="59"/>
      <c r="P252" s="62"/>
      <c r="Q252" s="62"/>
    </row>
    <row r="253">
      <c r="A253" s="59"/>
      <c r="B253" s="60"/>
      <c r="C253" s="60"/>
      <c r="D253" s="61"/>
      <c r="E253" s="59"/>
      <c r="F253" s="59"/>
      <c r="G253" s="59"/>
      <c r="H253" s="59"/>
      <c r="I253" s="59"/>
      <c r="J253" s="59"/>
      <c r="K253" s="59"/>
      <c r="L253" s="59"/>
      <c r="M253" s="59"/>
      <c r="N253" s="59"/>
      <c r="O253" s="59"/>
      <c r="P253" s="62"/>
      <c r="Q253" s="62"/>
    </row>
    <row r="254">
      <c r="A254" s="59"/>
      <c r="B254" s="60"/>
      <c r="C254" s="60"/>
      <c r="D254" s="61"/>
      <c r="E254" s="59"/>
      <c r="F254" s="59"/>
      <c r="G254" s="59"/>
      <c r="H254" s="59"/>
      <c r="I254" s="59"/>
      <c r="J254" s="59"/>
      <c r="K254" s="59"/>
      <c r="L254" s="59"/>
      <c r="M254" s="59"/>
      <c r="N254" s="59"/>
      <c r="O254" s="59"/>
      <c r="P254" s="62"/>
      <c r="Q254" s="62"/>
    </row>
    <row r="255">
      <c r="A255" s="59"/>
      <c r="B255" s="60"/>
      <c r="C255" s="60"/>
      <c r="D255" s="61"/>
      <c r="E255" s="59"/>
      <c r="F255" s="59"/>
      <c r="G255" s="59"/>
      <c r="H255" s="59"/>
      <c r="I255" s="59"/>
      <c r="J255" s="59"/>
      <c r="K255" s="59"/>
      <c r="L255" s="59"/>
      <c r="M255" s="59"/>
      <c r="N255" s="59"/>
      <c r="O255" s="59"/>
      <c r="P255" s="62"/>
      <c r="Q255" s="62"/>
    </row>
    <row r="256">
      <c r="A256" s="59"/>
      <c r="B256" s="60"/>
      <c r="C256" s="60"/>
      <c r="D256" s="61"/>
      <c r="E256" s="59"/>
      <c r="F256" s="59"/>
      <c r="G256" s="59"/>
      <c r="H256" s="59"/>
      <c r="I256" s="59"/>
      <c r="J256" s="59"/>
      <c r="K256" s="59"/>
      <c r="L256" s="59"/>
      <c r="M256" s="59"/>
      <c r="N256" s="59"/>
      <c r="O256" s="59"/>
      <c r="P256" s="62"/>
      <c r="Q256" s="62"/>
    </row>
    <row r="257">
      <c r="A257" s="59"/>
      <c r="B257" s="60"/>
      <c r="C257" s="60"/>
      <c r="D257" s="61"/>
      <c r="E257" s="59"/>
      <c r="F257" s="59"/>
      <c r="G257" s="59"/>
      <c r="H257" s="59"/>
      <c r="I257" s="59"/>
      <c r="J257" s="59"/>
      <c r="K257" s="59"/>
      <c r="L257" s="59"/>
      <c r="M257" s="59"/>
      <c r="N257" s="59"/>
      <c r="O257" s="59"/>
      <c r="P257" s="62"/>
      <c r="Q257" s="62"/>
    </row>
    <row r="258">
      <c r="A258" s="59"/>
      <c r="B258" s="60"/>
      <c r="C258" s="60"/>
      <c r="D258" s="61"/>
      <c r="E258" s="59"/>
      <c r="F258" s="59"/>
      <c r="G258" s="59"/>
      <c r="H258" s="59"/>
      <c r="I258" s="59"/>
      <c r="J258" s="59"/>
      <c r="K258" s="59"/>
      <c r="L258" s="59"/>
      <c r="M258" s="59"/>
      <c r="N258" s="59"/>
      <c r="O258" s="59"/>
      <c r="P258" s="62"/>
      <c r="Q258" s="62"/>
    </row>
    <row r="259">
      <c r="A259" s="59"/>
      <c r="B259" s="60"/>
      <c r="C259" s="60"/>
      <c r="D259" s="61"/>
      <c r="E259" s="59"/>
      <c r="F259" s="59"/>
      <c r="G259" s="59"/>
      <c r="H259" s="59"/>
      <c r="I259" s="59"/>
      <c r="J259" s="59"/>
      <c r="K259" s="59"/>
      <c r="L259" s="59"/>
      <c r="M259" s="59"/>
      <c r="N259" s="59"/>
      <c r="O259" s="59"/>
      <c r="P259" s="62"/>
      <c r="Q259" s="62"/>
    </row>
    <row r="260">
      <c r="A260" s="59"/>
      <c r="B260" s="60"/>
      <c r="C260" s="60"/>
      <c r="D260" s="61"/>
      <c r="E260" s="59"/>
      <c r="F260" s="59"/>
      <c r="G260" s="59"/>
      <c r="H260" s="59"/>
      <c r="I260" s="59"/>
      <c r="J260" s="59"/>
      <c r="K260" s="59"/>
      <c r="L260" s="59"/>
      <c r="M260" s="59"/>
      <c r="N260" s="59"/>
      <c r="O260" s="59"/>
      <c r="P260" s="62"/>
      <c r="Q260" s="62"/>
    </row>
    <row r="261">
      <c r="A261" s="59"/>
      <c r="B261" s="60"/>
      <c r="C261" s="60"/>
      <c r="D261" s="61"/>
      <c r="E261" s="59"/>
      <c r="F261" s="59"/>
      <c r="G261" s="59"/>
      <c r="H261" s="59"/>
      <c r="I261" s="59"/>
      <c r="J261" s="59"/>
      <c r="K261" s="59"/>
      <c r="L261" s="59"/>
      <c r="M261" s="59"/>
      <c r="N261" s="59"/>
      <c r="O261" s="59"/>
      <c r="P261" s="62"/>
      <c r="Q261" s="62"/>
    </row>
    <row r="262">
      <c r="A262" s="59"/>
      <c r="B262" s="60"/>
      <c r="C262" s="60"/>
      <c r="D262" s="61"/>
      <c r="E262" s="59"/>
      <c r="F262" s="59"/>
      <c r="G262" s="59"/>
      <c r="H262" s="59"/>
      <c r="I262" s="59"/>
      <c r="J262" s="59"/>
      <c r="K262" s="59"/>
      <c r="L262" s="59"/>
      <c r="M262" s="59"/>
      <c r="N262" s="59"/>
      <c r="O262" s="59"/>
      <c r="P262" s="62"/>
      <c r="Q262" s="62"/>
    </row>
    <row r="263">
      <c r="A263" s="59"/>
      <c r="B263" s="60"/>
      <c r="C263" s="60"/>
      <c r="D263" s="61"/>
      <c r="E263" s="59"/>
      <c r="F263" s="59"/>
      <c r="G263" s="59"/>
      <c r="H263" s="59"/>
      <c r="I263" s="59"/>
      <c r="J263" s="59"/>
      <c r="K263" s="59"/>
      <c r="L263" s="59"/>
      <c r="M263" s="59"/>
      <c r="N263" s="59"/>
      <c r="O263" s="59"/>
      <c r="P263" s="62"/>
      <c r="Q263" s="62"/>
    </row>
    <row r="264">
      <c r="A264" s="59"/>
      <c r="B264" s="60"/>
      <c r="C264" s="60"/>
      <c r="D264" s="61"/>
      <c r="E264" s="59"/>
      <c r="F264" s="59"/>
      <c r="G264" s="59"/>
      <c r="H264" s="59"/>
      <c r="I264" s="59"/>
      <c r="J264" s="59"/>
      <c r="K264" s="59"/>
      <c r="L264" s="59"/>
      <c r="M264" s="59"/>
      <c r="N264" s="59"/>
      <c r="O264" s="59"/>
      <c r="P264" s="62"/>
      <c r="Q264" s="62"/>
    </row>
    <row r="265">
      <c r="A265" s="59"/>
      <c r="B265" s="60"/>
      <c r="C265" s="60"/>
      <c r="D265" s="61"/>
      <c r="E265" s="59"/>
      <c r="F265" s="59"/>
      <c r="G265" s="59"/>
      <c r="H265" s="59"/>
      <c r="I265" s="59"/>
      <c r="J265" s="59"/>
      <c r="K265" s="59"/>
      <c r="L265" s="59"/>
      <c r="M265" s="59"/>
      <c r="N265" s="59"/>
      <c r="O265" s="59"/>
      <c r="P265" s="62"/>
      <c r="Q265" s="62"/>
    </row>
    <row r="266">
      <c r="A266" s="59"/>
      <c r="B266" s="60"/>
      <c r="C266" s="60"/>
      <c r="D266" s="61"/>
      <c r="E266" s="59"/>
      <c r="F266" s="59"/>
      <c r="G266" s="59"/>
      <c r="H266" s="59"/>
      <c r="I266" s="59"/>
      <c r="J266" s="59"/>
      <c r="K266" s="59"/>
      <c r="L266" s="59"/>
      <c r="M266" s="59"/>
      <c r="N266" s="59"/>
      <c r="O266" s="59"/>
      <c r="P266" s="62"/>
      <c r="Q266" s="62"/>
    </row>
    <row r="267">
      <c r="A267" s="59"/>
      <c r="B267" s="60"/>
      <c r="C267" s="60"/>
      <c r="D267" s="61"/>
      <c r="E267" s="59"/>
      <c r="F267" s="59"/>
      <c r="G267" s="59"/>
      <c r="H267" s="59"/>
      <c r="I267" s="59"/>
      <c r="J267" s="59"/>
      <c r="K267" s="59"/>
      <c r="L267" s="59"/>
      <c r="M267" s="59"/>
      <c r="N267" s="59"/>
      <c r="O267" s="59"/>
      <c r="P267" s="62"/>
      <c r="Q267" s="62"/>
    </row>
    <row r="268">
      <c r="A268" s="59"/>
      <c r="B268" s="60"/>
      <c r="C268" s="60"/>
      <c r="D268" s="61"/>
      <c r="E268" s="59"/>
      <c r="F268" s="59"/>
      <c r="G268" s="59"/>
      <c r="H268" s="59"/>
      <c r="I268" s="59"/>
      <c r="J268" s="59"/>
      <c r="K268" s="59"/>
      <c r="L268" s="59"/>
      <c r="M268" s="59"/>
      <c r="N268" s="59"/>
      <c r="O268" s="59"/>
      <c r="P268" s="62"/>
      <c r="Q268" s="62"/>
    </row>
    <row r="269">
      <c r="A269" s="59"/>
      <c r="B269" s="60"/>
      <c r="C269" s="60"/>
      <c r="D269" s="61"/>
      <c r="E269" s="59"/>
      <c r="F269" s="59"/>
      <c r="G269" s="59"/>
      <c r="H269" s="59"/>
      <c r="I269" s="59"/>
      <c r="J269" s="59"/>
      <c r="K269" s="59"/>
      <c r="L269" s="59"/>
      <c r="M269" s="59"/>
      <c r="N269" s="59"/>
      <c r="O269" s="59"/>
      <c r="P269" s="62"/>
      <c r="Q269" s="62"/>
    </row>
    <row r="270">
      <c r="A270" s="59"/>
      <c r="B270" s="60"/>
      <c r="C270" s="60"/>
      <c r="D270" s="61"/>
      <c r="E270" s="59"/>
      <c r="F270" s="59"/>
      <c r="G270" s="59"/>
      <c r="H270" s="59"/>
      <c r="I270" s="59"/>
      <c r="J270" s="59"/>
      <c r="K270" s="59"/>
      <c r="L270" s="59"/>
      <c r="M270" s="59"/>
      <c r="N270" s="59"/>
      <c r="O270" s="59"/>
      <c r="P270" s="62"/>
      <c r="Q270" s="62"/>
    </row>
    <row r="271">
      <c r="A271" s="59"/>
      <c r="B271" s="60"/>
      <c r="C271" s="60"/>
      <c r="D271" s="61"/>
      <c r="E271" s="59"/>
      <c r="F271" s="59"/>
      <c r="G271" s="59"/>
      <c r="H271" s="59"/>
      <c r="I271" s="59"/>
      <c r="J271" s="59"/>
      <c r="K271" s="59"/>
      <c r="L271" s="59"/>
      <c r="M271" s="59"/>
      <c r="N271" s="59"/>
      <c r="O271" s="59"/>
      <c r="P271" s="62"/>
      <c r="Q271" s="62"/>
    </row>
    <row r="272">
      <c r="A272" s="59"/>
      <c r="B272" s="60"/>
      <c r="C272" s="60"/>
      <c r="D272" s="61"/>
      <c r="E272" s="59"/>
      <c r="F272" s="59"/>
      <c r="G272" s="59"/>
      <c r="H272" s="59"/>
      <c r="I272" s="59"/>
      <c r="J272" s="59"/>
      <c r="K272" s="59"/>
      <c r="L272" s="59"/>
      <c r="M272" s="59"/>
      <c r="N272" s="59"/>
      <c r="O272" s="59"/>
      <c r="P272" s="62"/>
      <c r="Q272" s="62"/>
    </row>
    <row r="273">
      <c r="A273" s="59"/>
      <c r="B273" s="60"/>
      <c r="C273" s="60"/>
      <c r="D273" s="61"/>
      <c r="E273" s="59"/>
      <c r="F273" s="59"/>
      <c r="G273" s="59"/>
      <c r="H273" s="59"/>
      <c r="I273" s="59"/>
      <c r="J273" s="59"/>
      <c r="K273" s="59"/>
      <c r="L273" s="59"/>
      <c r="M273" s="59"/>
      <c r="N273" s="59"/>
      <c r="O273" s="59"/>
      <c r="P273" s="62"/>
      <c r="Q273" s="62"/>
    </row>
    <row r="274">
      <c r="A274" s="59"/>
      <c r="B274" s="60"/>
      <c r="C274" s="60"/>
      <c r="D274" s="61"/>
      <c r="E274" s="59"/>
      <c r="F274" s="59"/>
      <c r="G274" s="59"/>
      <c r="H274" s="59"/>
      <c r="I274" s="59"/>
      <c r="J274" s="59"/>
      <c r="K274" s="59"/>
      <c r="L274" s="59"/>
      <c r="M274" s="59"/>
      <c r="N274" s="59"/>
      <c r="O274" s="59"/>
      <c r="P274" s="62"/>
      <c r="Q274" s="62"/>
    </row>
    <row r="275">
      <c r="A275" s="59"/>
      <c r="B275" s="60"/>
      <c r="C275" s="60"/>
      <c r="D275" s="61"/>
      <c r="E275" s="59"/>
      <c r="F275" s="59"/>
      <c r="G275" s="59"/>
      <c r="H275" s="59"/>
      <c r="I275" s="59"/>
      <c r="J275" s="59"/>
      <c r="K275" s="59"/>
      <c r="L275" s="59"/>
      <c r="M275" s="59"/>
      <c r="N275" s="59"/>
      <c r="O275" s="59"/>
      <c r="P275" s="62"/>
      <c r="Q275" s="62"/>
    </row>
    <row r="276">
      <c r="A276" s="59"/>
      <c r="B276" s="60"/>
      <c r="C276" s="60"/>
      <c r="D276" s="61"/>
      <c r="E276" s="59"/>
      <c r="F276" s="59"/>
      <c r="G276" s="59"/>
      <c r="H276" s="59"/>
      <c r="I276" s="59"/>
      <c r="J276" s="59"/>
      <c r="K276" s="59"/>
      <c r="L276" s="59"/>
      <c r="M276" s="59"/>
      <c r="N276" s="59"/>
      <c r="O276" s="59"/>
      <c r="P276" s="62"/>
      <c r="Q276" s="62"/>
    </row>
    <row r="277">
      <c r="A277" s="59"/>
      <c r="B277" s="60"/>
      <c r="C277" s="60"/>
      <c r="D277" s="61"/>
      <c r="E277" s="59"/>
      <c r="F277" s="59"/>
      <c r="G277" s="59"/>
      <c r="H277" s="59"/>
      <c r="I277" s="59"/>
      <c r="J277" s="59"/>
      <c r="K277" s="59"/>
      <c r="L277" s="59"/>
      <c r="M277" s="59"/>
      <c r="N277" s="59"/>
      <c r="O277" s="59"/>
      <c r="P277" s="62"/>
      <c r="Q277" s="62"/>
    </row>
    <row r="278">
      <c r="A278" s="59"/>
      <c r="B278" s="60"/>
      <c r="C278" s="60"/>
      <c r="D278" s="61"/>
      <c r="E278" s="59"/>
      <c r="F278" s="59"/>
      <c r="G278" s="59"/>
      <c r="H278" s="59"/>
      <c r="I278" s="59"/>
      <c r="J278" s="59"/>
      <c r="K278" s="59"/>
      <c r="L278" s="59"/>
      <c r="M278" s="59"/>
      <c r="N278" s="59"/>
      <c r="O278" s="59"/>
      <c r="P278" s="62"/>
      <c r="Q278" s="62"/>
    </row>
    <row r="279">
      <c r="A279" s="59"/>
      <c r="B279" s="60"/>
      <c r="C279" s="60"/>
      <c r="D279" s="61"/>
      <c r="E279" s="59"/>
      <c r="F279" s="59"/>
      <c r="G279" s="59"/>
      <c r="H279" s="59"/>
      <c r="I279" s="59"/>
      <c r="J279" s="59"/>
      <c r="K279" s="59"/>
      <c r="L279" s="59"/>
      <c r="M279" s="59"/>
      <c r="N279" s="59"/>
      <c r="O279" s="59"/>
      <c r="P279" s="62"/>
      <c r="Q279" s="62"/>
    </row>
    <row r="280">
      <c r="A280" s="59"/>
      <c r="B280" s="60"/>
      <c r="C280" s="60"/>
      <c r="D280" s="61"/>
      <c r="E280" s="59"/>
      <c r="F280" s="59"/>
      <c r="G280" s="59"/>
      <c r="H280" s="59"/>
      <c r="I280" s="59"/>
      <c r="J280" s="59"/>
      <c r="K280" s="59"/>
      <c r="L280" s="59"/>
      <c r="M280" s="59"/>
      <c r="N280" s="59"/>
      <c r="O280" s="59"/>
      <c r="P280" s="62"/>
      <c r="Q280" s="62"/>
    </row>
    <row r="281">
      <c r="A281" s="59"/>
      <c r="B281" s="60"/>
      <c r="C281" s="60"/>
      <c r="D281" s="61"/>
      <c r="E281" s="59"/>
      <c r="F281" s="59"/>
      <c r="G281" s="59"/>
      <c r="H281" s="59"/>
      <c r="I281" s="59"/>
      <c r="J281" s="59"/>
      <c r="K281" s="59"/>
      <c r="L281" s="59"/>
      <c r="M281" s="59"/>
      <c r="N281" s="59"/>
      <c r="O281" s="59"/>
      <c r="P281" s="62"/>
      <c r="Q281" s="62"/>
    </row>
    <row r="282">
      <c r="A282" s="59"/>
      <c r="B282" s="60"/>
      <c r="C282" s="60"/>
      <c r="D282" s="61"/>
      <c r="E282" s="59"/>
      <c r="F282" s="59"/>
      <c r="G282" s="59"/>
      <c r="H282" s="59"/>
      <c r="I282" s="59"/>
      <c r="J282" s="59"/>
      <c r="K282" s="59"/>
      <c r="L282" s="59"/>
      <c r="M282" s="59"/>
      <c r="N282" s="59"/>
      <c r="O282" s="59"/>
      <c r="P282" s="62"/>
      <c r="Q282" s="62"/>
    </row>
    <row r="283">
      <c r="A283" s="59"/>
      <c r="B283" s="60"/>
      <c r="C283" s="60"/>
      <c r="D283" s="61"/>
      <c r="E283" s="59"/>
      <c r="F283" s="59"/>
      <c r="G283" s="59"/>
      <c r="H283" s="59"/>
      <c r="I283" s="59"/>
      <c r="J283" s="59"/>
      <c r="K283" s="59"/>
      <c r="L283" s="59"/>
      <c r="M283" s="59"/>
      <c r="N283" s="59"/>
      <c r="O283" s="59"/>
      <c r="P283" s="62"/>
      <c r="Q283" s="62"/>
    </row>
    <row r="284">
      <c r="A284" s="59"/>
      <c r="B284" s="60"/>
      <c r="C284" s="60"/>
      <c r="D284" s="61"/>
      <c r="E284" s="59"/>
      <c r="F284" s="59"/>
      <c r="G284" s="59"/>
      <c r="H284" s="59"/>
      <c r="I284" s="59"/>
      <c r="J284" s="59"/>
      <c r="K284" s="59"/>
      <c r="L284" s="59"/>
      <c r="M284" s="59"/>
      <c r="N284" s="59"/>
      <c r="O284" s="59"/>
      <c r="P284" s="62"/>
      <c r="Q284" s="62"/>
    </row>
    <row r="285">
      <c r="A285" s="59"/>
      <c r="B285" s="60"/>
      <c r="C285" s="60"/>
      <c r="D285" s="61"/>
      <c r="E285" s="59"/>
      <c r="F285" s="59"/>
      <c r="G285" s="59"/>
      <c r="H285" s="59"/>
      <c r="I285" s="59"/>
      <c r="J285" s="59"/>
      <c r="K285" s="59"/>
      <c r="L285" s="59"/>
      <c r="M285" s="59"/>
      <c r="N285" s="59"/>
      <c r="O285" s="59"/>
      <c r="P285" s="62"/>
      <c r="Q285" s="62"/>
    </row>
    <row r="286">
      <c r="A286" s="59"/>
      <c r="B286" s="60"/>
      <c r="C286" s="60"/>
      <c r="D286" s="61"/>
      <c r="E286" s="59"/>
      <c r="F286" s="59"/>
      <c r="G286" s="59"/>
      <c r="H286" s="59"/>
      <c r="I286" s="59"/>
      <c r="J286" s="59"/>
      <c r="K286" s="59"/>
      <c r="L286" s="59"/>
      <c r="M286" s="59"/>
      <c r="N286" s="59"/>
      <c r="O286" s="59"/>
      <c r="P286" s="62"/>
      <c r="Q286" s="62"/>
    </row>
    <row r="287">
      <c r="A287" s="59"/>
      <c r="B287" s="60"/>
      <c r="C287" s="60"/>
      <c r="D287" s="61"/>
      <c r="E287" s="59"/>
      <c r="F287" s="59"/>
      <c r="G287" s="59"/>
      <c r="H287" s="59"/>
      <c r="I287" s="59"/>
      <c r="J287" s="59"/>
      <c r="K287" s="59"/>
      <c r="L287" s="59"/>
      <c r="M287" s="59"/>
      <c r="N287" s="59"/>
      <c r="O287" s="59"/>
      <c r="P287" s="62"/>
      <c r="Q287" s="62"/>
    </row>
    <row r="288">
      <c r="A288" s="59"/>
      <c r="B288" s="60"/>
      <c r="C288" s="60"/>
      <c r="D288" s="61"/>
      <c r="E288" s="59"/>
      <c r="F288" s="59"/>
      <c r="G288" s="59"/>
      <c r="H288" s="59"/>
      <c r="I288" s="59"/>
      <c r="J288" s="59"/>
      <c r="K288" s="59"/>
      <c r="L288" s="59"/>
      <c r="M288" s="59"/>
      <c r="N288" s="59"/>
      <c r="O288" s="59"/>
      <c r="P288" s="62"/>
      <c r="Q288" s="62"/>
    </row>
    <row r="289">
      <c r="A289" s="59"/>
      <c r="B289" s="60"/>
      <c r="C289" s="60"/>
      <c r="D289" s="61"/>
      <c r="E289" s="59"/>
      <c r="F289" s="59"/>
      <c r="G289" s="59"/>
      <c r="H289" s="59"/>
      <c r="I289" s="59"/>
      <c r="J289" s="59"/>
      <c r="K289" s="59"/>
      <c r="L289" s="59"/>
      <c r="M289" s="59"/>
      <c r="N289" s="59"/>
      <c r="O289" s="59"/>
      <c r="P289" s="62"/>
      <c r="Q289" s="62"/>
    </row>
    <row r="290">
      <c r="A290" s="59"/>
      <c r="B290" s="60"/>
      <c r="C290" s="60"/>
      <c r="D290" s="61"/>
      <c r="E290" s="59"/>
      <c r="F290" s="59"/>
      <c r="G290" s="59"/>
      <c r="H290" s="59"/>
      <c r="I290" s="59"/>
      <c r="J290" s="59"/>
      <c r="K290" s="59"/>
      <c r="L290" s="59"/>
      <c r="M290" s="59"/>
      <c r="N290" s="59"/>
      <c r="O290" s="59"/>
      <c r="P290" s="62"/>
      <c r="Q290" s="62"/>
    </row>
    <row r="291">
      <c r="A291" s="59"/>
      <c r="B291" s="60"/>
      <c r="C291" s="60"/>
      <c r="D291" s="61"/>
      <c r="E291" s="59"/>
      <c r="F291" s="59"/>
      <c r="G291" s="59"/>
      <c r="H291" s="59"/>
      <c r="I291" s="59"/>
      <c r="J291" s="59"/>
      <c r="K291" s="59"/>
      <c r="L291" s="59"/>
      <c r="M291" s="59"/>
      <c r="N291" s="59"/>
      <c r="O291" s="59"/>
      <c r="P291" s="62"/>
      <c r="Q291" s="62"/>
    </row>
    <row r="292">
      <c r="A292" s="59"/>
      <c r="B292" s="60"/>
      <c r="C292" s="60"/>
      <c r="D292" s="61"/>
      <c r="E292" s="59"/>
      <c r="F292" s="59"/>
      <c r="G292" s="59"/>
      <c r="H292" s="59"/>
      <c r="I292" s="59"/>
      <c r="J292" s="59"/>
      <c r="K292" s="59"/>
      <c r="L292" s="59"/>
      <c r="M292" s="59"/>
      <c r="N292" s="59"/>
      <c r="O292" s="59"/>
      <c r="P292" s="62"/>
      <c r="Q292" s="62"/>
    </row>
    <row r="293">
      <c r="A293" s="59"/>
      <c r="B293" s="60"/>
      <c r="C293" s="60"/>
      <c r="D293" s="61"/>
      <c r="E293" s="59"/>
      <c r="F293" s="59"/>
      <c r="G293" s="59"/>
      <c r="H293" s="59"/>
      <c r="I293" s="59"/>
      <c r="J293" s="59"/>
      <c r="K293" s="59"/>
      <c r="L293" s="59"/>
      <c r="M293" s="59"/>
      <c r="N293" s="59"/>
      <c r="O293" s="59"/>
      <c r="P293" s="62"/>
      <c r="Q293" s="62"/>
    </row>
    <row r="294">
      <c r="A294" s="59"/>
      <c r="B294" s="60"/>
      <c r="C294" s="60"/>
      <c r="D294" s="61"/>
      <c r="E294" s="59"/>
      <c r="F294" s="59"/>
      <c r="G294" s="59"/>
      <c r="H294" s="59"/>
      <c r="I294" s="59"/>
      <c r="J294" s="59"/>
      <c r="K294" s="59"/>
      <c r="L294" s="59"/>
      <c r="M294" s="59"/>
      <c r="N294" s="59"/>
      <c r="O294" s="59"/>
      <c r="P294" s="62"/>
      <c r="Q294" s="62"/>
    </row>
    <row r="295">
      <c r="A295" s="59"/>
      <c r="B295" s="60"/>
      <c r="C295" s="60"/>
      <c r="D295" s="61"/>
      <c r="E295" s="59"/>
      <c r="F295" s="59"/>
      <c r="G295" s="59"/>
      <c r="H295" s="59"/>
      <c r="I295" s="59"/>
      <c r="J295" s="59"/>
      <c r="K295" s="59"/>
      <c r="L295" s="59"/>
      <c r="M295" s="59"/>
      <c r="N295" s="59"/>
      <c r="O295" s="59"/>
      <c r="P295" s="62"/>
      <c r="Q295" s="62"/>
    </row>
    <row r="296">
      <c r="A296" s="59"/>
      <c r="B296" s="60"/>
      <c r="C296" s="60"/>
      <c r="D296" s="61"/>
      <c r="E296" s="59"/>
      <c r="F296" s="59"/>
      <c r="G296" s="59"/>
      <c r="H296" s="59"/>
      <c r="I296" s="59"/>
      <c r="J296" s="59"/>
      <c r="K296" s="59"/>
      <c r="L296" s="59"/>
      <c r="M296" s="59"/>
      <c r="N296" s="59"/>
      <c r="O296" s="59"/>
      <c r="P296" s="62"/>
      <c r="Q296" s="62"/>
    </row>
    <row r="297">
      <c r="A297" s="59"/>
      <c r="B297" s="60"/>
      <c r="C297" s="60"/>
      <c r="D297" s="61"/>
      <c r="E297" s="59"/>
      <c r="F297" s="59"/>
      <c r="G297" s="59"/>
      <c r="H297" s="59"/>
      <c r="I297" s="59"/>
      <c r="J297" s="59"/>
      <c r="K297" s="59"/>
      <c r="L297" s="59"/>
      <c r="M297" s="59"/>
      <c r="N297" s="59"/>
      <c r="O297" s="59"/>
      <c r="P297" s="62"/>
      <c r="Q297" s="62"/>
    </row>
    <row r="298">
      <c r="A298" s="59"/>
      <c r="B298" s="60"/>
      <c r="C298" s="60"/>
      <c r="D298" s="61"/>
      <c r="E298" s="59"/>
      <c r="F298" s="59"/>
      <c r="G298" s="59"/>
      <c r="H298" s="59"/>
      <c r="I298" s="59"/>
      <c r="J298" s="59"/>
      <c r="K298" s="59"/>
      <c r="L298" s="59"/>
      <c r="M298" s="59"/>
      <c r="N298" s="59"/>
      <c r="O298" s="59"/>
      <c r="P298" s="62"/>
      <c r="Q298" s="62"/>
    </row>
    <row r="299">
      <c r="A299" s="59"/>
      <c r="B299" s="60"/>
      <c r="C299" s="60"/>
      <c r="D299" s="61"/>
      <c r="E299" s="59"/>
      <c r="F299" s="59"/>
      <c r="G299" s="59"/>
      <c r="H299" s="59"/>
      <c r="I299" s="59"/>
      <c r="J299" s="59"/>
      <c r="K299" s="59"/>
      <c r="L299" s="59"/>
      <c r="M299" s="59"/>
      <c r="N299" s="59"/>
      <c r="O299" s="59"/>
      <c r="P299" s="62"/>
      <c r="Q299" s="62"/>
    </row>
    <row r="300">
      <c r="A300" s="59"/>
      <c r="B300" s="60"/>
      <c r="C300" s="60"/>
      <c r="D300" s="61"/>
      <c r="E300" s="59"/>
      <c r="F300" s="59"/>
      <c r="G300" s="59"/>
      <c r="H300" s="59"/>
      <c r="I300" s="59"/>
      <c r="J300" s="59"/>
      <c r="K300" s="59"/>
      <c r="L300" s="59"/>
      <c r="M300" s="59"/>
      <c r="N300" s="59"/>
      <c r="O300" s="59"/>
      <c r="P300" s="62"/>
      <c r="Q300" s="62"/>
    </row>
    <row r="301">
      <c r="A301" s="59"/>
      <c r="B301" s="60"/>
      <c r="C301" s="60"/>
      <c r="D301" s="61"/>
      <c r="E301" s="59"/>
      <c r="F301" s="59"/>
      <c r="G301" s="59"/>
      <c r="H301" s="59"/>
      <c r="I301" s="59"/>
      <c r="J301" s="59"/>
      <c r="K301" s="59"/>
      <c r="L301" s="59"/>
      <c r="M301" s="59"/>
      <c r="N301" s="59"/>
      <c r="O301" s="59"/>
      <c r="P301" s="62"/>
      <c r="Q301" s="62"/>
    </row>
    <row r="302">
      <c r="A302" s="59"/>
      <c r="B302" s="60"/>
      <c r="C302" s="60"/>
      <c r="D302" s="61"/>
      <c r="E302" s="59"/>
      <c r="F302" s="59"/>
      <c r="G302" s="59"/>
      <c r="H302" s="59"/>
      <c r="I302" s="59"/>
      <c r="J302" s="59"/>
      <c r="K302" s="59"/>
      <c r="L302" s="59"/>
      <c r="M302" s="59"/>
      <c r="N302" s="59"/>
      <c r="O302" s="59"/>
      <c r="P302" s="62"/>
      <c r="Q302" s="62"/>
    </row>
    <row r="303">
      <c r="A303" s="59"/>
      <c r="B303" s="60"/>
      <c r="C303" s="60"/>
      <c r="D303" s="61"/>
      <c r="E303" s="59"/>
      <c r="F303" s="59"/>
      <c r="G303" s="59"/>
      <c r="H303" s="59"/>
      <c r="I303" s="59"/>
      <c r="J303" s="59"/>
      <c r="K303" s="59"/>
      <c r="L303" s="59"/>
      <c r="M303" s="59"/>
      <c r="N303" s="59"/>
      <c r="O303" s="59"/>
      <c r="P303" s="62"/>
      <c r="Q303" s="62"/>
    </row>
    <row r="304">
      <c r="A304" s="59"/>
      <c r="B304" s="60"/>
      <c r="C304" s="60"/>
      <c r="D304" s="61"/>
      <c r="E304" s="59"/>
      <c r="F304" s="59"/>
      <c r="G304" s="59"/>
      <c r="H304" s="59"/>
      <c r="I304" s="59"/>
      <c r="J304" s="59"/>
      <c r="K304" s="59"/>
      <c r="L304" s="59"/>
      <c r="M304" s="59"/>
      <c r="N304" s="59"/>
      <c r="O304" s="59"/>
      <c r="P304" s="62"/>
      <c r="Q304" s="62"/>
    </row>
    <row r="305">
      <c r="A305" s="59"/>
      <c r="B305" s="60"/>
      <c r="C305" s="60"/>
      <c r="D305" s="61"/>
      <c r="E305" s="59"/>
      <c r="F305" s="59"/>
      <c r="G305" s="59"/>
      <c r="H305" s="59"/>
      <c r="I305" s="59"/>
      <c r="J305" s="59"/>
      <c r="K305" s="59"/>
      <c r="L305" s="59"/>
      <c r="M305" s="59"/>
      <c r="N305" s="59"/>
      <c r="O305" s="59"/>
      <c r="P305" s="62"/>
      <c r="Q305" s="62"/>
    </row>
    <row r="306">
      <c r="A306" s="59"/>
      <c r="B306" s="60"/>
      <c r="C306" s="60"/>
      <c r="D306" s="61"/>
      <c r="E306" s="59"/>
      <c r="F306" s="59"/>
      <c r="G306" s="59"/>
      <c r="H306" s="59"/>
      <c r="I306" s="59"/>
      <c r="J306" s="59"/>
      <c r="K306" s="59"/>
      <c r="L306" s="59"/>
      <c r="M306" s="59"/>
      <c r="N306" s="59"/>
      <c r="O306" s="59"/>
      <c r="P306" s="62"/>
      <c r="Q306" s="62"/>
    </row>
    <row r="307">
      <c r="A307" s="59"/>
      <c r="B307" s="60"/>
      <c r="C307" s="60"/>
      <c r="D307" s="61"/>
      <c r="E307" s="59"/>
      <c r="F307" s="59"/>
      <c r="G307" s="59"/>
      <c r="H307" s="59"/>
      <c r="I307" s="59"/>
      <c r="J307" s="59"/>
      <c r="K307" s="59"/>
      <c r="L307" s="59"/>
      <c r="M307" s="59"/>
      <c r="N307" s="59"/>
      <c r="O307" s="59"/>
      <c r="P307" s="62"/>
      <c r="Q307" s="62"/>
    </row>
    <row r="308">
      <c r="A308" s="59"/>
      <c r="B308" s="60"/>
      <c r="C308" s="60"/>
      <c r="D308" s="61"/>
      <c r="E308" s="59"/>
      <c r="F308" s="59"/>
      <c r="G308" s="59"/>
      <c r="H308" s="59"/>
      <c r="I308" s="59"/>
      <c r="J308" s="59"/>
      <c r="K308" s="59"/>
      <c r="L308" s="59"/>
      <c r="M308" s="59"/>
      <c r="N308" s="59"/>
      <c r="O308" s="59"/>
      <c r="P308" s="62"/>
      <c r="Q308" s="62"/>
    </row>
    <row r="309">
      <c r="A309" s="59"/>
      <c r="B309" s="60"/>
      <c r="C309" s="60"/>
      <c r="D309" s="61"/>
      <c r="E309" s="59"/>
      <c r="F309" s="59"/>
      <c r="G309" s="59"/>
      <c r="H309" s="59"/>
      <c r="I309" s="59"/>
      <c r="J309" s="59"/>
      <c r="K309" s="59"/>
      <c r="L309" s="59"/>
      <c r="M309" s="59"/>
      <c r="N309" s="59"/>
      <c r="O309" s="59"/>
      <c r="P309" s="62"/>
      <c r="Q309" s="62"/>
    </row>
    <row r="310">
      <c r="A310" s="59"/>
      <c r="B310" s="60"/>
      <c r="C310" s="60"/>
      <c r="D310" s="61"/>
      <c r="E310" s="59"/>
      <c r="F310" s="59"/>
      <c r="G310" s="59"/>
      <c r="H310" s="59"/>
      <c r="I310" s="59"/>
      <c r="J310" s="59"/>
      <c r="K310" s="59"/>
      <c r="L310" s="59"/>
      <c r="M310" s="59"/>
      <c r="N310" s="59"/>
      <c r="O310" s="59"/>
      <c r="P310" s="62"/>
      <c r="Q310" s="62"/>
    </row>
    <row r="311">
      <c r="A311" s="59"/>
      <c r="B311" s="60"/>
      <c r="C311" s="60"/>
      <c r="D311" s="61"/>
      <c r="E311" s="59"/>
      <c r="F311" s="59"/>
      <c r="G311" s="59"/>
      <c r="H311" s="59"/>
      <c r="I311" s="59"/>
      <c r="J311" s="59"/>
      <c r="K311" s="59"/>
      <c r="L311" s="59"/>
      <c r="M311" s="59"/>
      <c r="N311" s="59"/>
      <c r="O311" s="59"/>
      <c r="P311" s="62"/>
      <c r="Q311" s="62"/>
    </row>
    <row r="312">
      <c r="A312" s="59"/>
      <c r="B312" s="60"/>
      <c r="C312" s="60"/>
      <c r="D312" s="61"/>
      <c r="E312" s="59"/>
      <c r="F312" s="59"/>
      <c r="G312" s="59"/>
      <c r="H312" s="59"/>
      <c r="I312" s="59"/>
      <c r="J312" s="59"/>
      <c r="K312" s="59"/>
      <c r="L312" s="59"/>
      <c r="M312" s="59"/>
      <c r="N312" s="59"/>
      <c r="O312" s="59"/>
      <c r="P312" s="62"/>
      <c r="Q312" s="62"/>
    </row>
    <row r="313">
      <c r="A313" s="59"/>
      <c r="B313" s="60"/>
      <c r="C313" s="60"/>
      <c r="D313" s="61"/>
      <c r="E313" s="59"/>
      <c r="F313" s="59"/>
      <c r="G313" s="59"/>
      <c r="H313" s="59"/>
      <c r="I313" s="59"/>
      <c r="J313" s="59"/>
      <c r="K313" s="59"/>
      <c r="L313" s="59"/>
      <c r="M313" s="59"/>
      <c r="N313" s="59"/>
      <c r="O313" s="59"/>
      <c r="P313" s="62"/>
      <c r="Q313" s="62"/>
    </row>
    <row r="314">
      <c r="A314" s="59"/>
      <c r="B314" s="60"/>
      <c r="C314" s="60"/>
      <c r="D314" s="61"/>
      <c r="E314" s="59"/>
      <c r="F314" s="59"/>
      <c r="G314" s="59"/>
      <c r="H314" s="59"/>
      <c r="I314" s="59"/>
      <c r="J314" s="59"/>
      <c r="K314" s="59"/>
      <c r="L314" s="59"/>
      <c r="M314" s="59"/>
      <c r="N314" s="59"/>
      <c r="O314" s="59"/>
      <c r="P314" s="62"/>
      <c r="Q314" s="62"/>
    </row>
    <row r="315">
      <c r="A315" s="59"/>
      <c r="B315" s="60"/>
      <c r="C315" s="60"/>
      <c r="D315" s="61"/>
      <c r="E315" s="59"/>
      <c r="F315" s="59"/>
      <c r="G315" s="59"/>
      <c r="H315" s="59"/>
      <c r="I315" s="59"/>
      <c r="J315" s="59"/>
      <c r="K315" s="59"/>
      <c r="L315" s="59"/>
      <c r="M315" s="59"/>
      <c r="N315" s="59"/>
      <c r="O315" s="59"/>
      <c r="P315" s="62"/>
      <c r="Q315" s="62"/>
    </row>
    <row r="316">
      <c r="A316" s="59"/>
      <c r="B316" s="60"/>
      <c r="C316" s="60"/>
      <c r="D316" s="61"/>
      <c r="E316" s="59"/>
      <c r="F316" s="59"/>
      <c r="G316" s="59"/>
      <c r="H316" s="59"/>
      <c r="I316" s="59"/>
      <c r="J316" s="59"/>
      <c r="K316" s="59"/>
      <c r="L316" s="59"/>
      <c r="M316" s="59"/>
      <c r="N316" s="59"/>
      <c r="O316" s="59"/>
      <c r="P316" s="62"/>
      <c r="Q316" s="62"/>
    </row>
    <row r="317">
      <c r="A317" s="59"/>
      <c r="B317" s="60"/>
      <c r="C317" s="60"/>
      <c r="D317" s="61"/>
      <c r="E317" s="59"/>
      <c r="F317" s="59"/>
      <c r="G317" s="59"/>
      <c r="H317" s="59"/>
      <c r="I317" s="59"/>
      <c r="J317" s="59"/>
      <c r="K317" s="59"/>
      <c r="L317" s="59"/>
      <c r="M317" s="59"/>
      <c r="N317" s="59"/>
      <c r="O317" s="59"/>
      <c r="P317" s="62"/>
      <c r="Q317" s="62"/>
    </row>
    <row r="318">
      <c r="A318" s="59"/>
      <c r="B318" s="60"/>
      <c r="C318" s="60"/>
      <c r="D318" s="61"/>
      <c r="E318" s="59"/>
      <c r="F318" s="59"/>
      <c r="G318" s="59"/>
      <c r="H318" s="59"/>
      <c r="I318" s="59"/>
      <c r="J318" s="59"/>
      <c r="K318" s="59"/>
      <c r="L318" s="59"/>
      <c r="M318" s="59"/>
      <c r="N318" s="59"/>
      <c r="O318" s="59"/>
      <c r="P318" s="62"/>
      <c r="Q318" s="62"/>
    </row>
    <row r="319">
      <c r="A319" s="59"/>
      <c r="B319" s="60"/>
      <c r="C319" s="60"/>
      <c r="D319" s="61"/>
      <c r="E319" s="59"/>
      <c r="F319" s="59"/>
      <c r="G319" s="59"/>
      <c r="H319" s="59"/>
      <c r="I319" s="59"/>
      <c r="J319" s="59"/>
      <c r="K319" s="59"/>
      <c r="L319" s="59"/>
      <c r="M319" s="59"/>
      <c r="N319" s="59"/>
      <c r="O319" s="59"/>
      <c r="P319" s="62"/>
      <c r="Q319" s="62"/>
    </row>
    <row r="320">
      <c r="A320" s="59"/>
      <c r="B320" s="60"/>
      <c r="C320" s="60"/>
      <c r="D320" s="61"/>
      <c r="E320" s="59"/>
      <c r="F320" s="59"/>
      <c r="G320" s="59"/>
      <c r="H320" s="59"/>
      <c r="I320" s="59"/>
      <c r="J320" s="59"/>
      <c r="K320" s="59"/>
      <c r="L320" s="59"/>
      <c r="M320" s="59"/>
      <c r="N320" s="59"/>
      <c r="O320" s="59"/>
      <c r="P320" s="62"/>
      <c r="Q320" s="62"/>
    </row>
    <row r="321">
      <c r="A321" s="59"/>
      <c r="B321" s="60"/>
      <c r="C321" s="60"/>
      <c r="D321" s="61"/>
      <c r="E321" s="59"/>
      <c r="F321" s="59"/>
      <c r="G321" s="59"/>
      <c r="H321" s="59"/>
      <c r="I321" s="59"/>
      <c r="J321" s="59"/>
      <c r="K321" s="59"/>
      <c r="L321" s="59"/>
      <c r="M321" s="59"/>
      <c r="N321" s="59"/>
      <c r="O321" s="59"/>
      <c r="P321" s="62"/>
      <c r="Q321" s="62"/>
    </row>
    <row r="322">
      <c r="A322" s="59"/>
      <c r="B322" s="60"/>
      <c r="C322" s="60"/>
      <c r="D322" s="61"/>
      <c r="E322" s="59"/>
      <c r="F322" s="59"/>
      <c r="G322" s="59"/>
      <c r="H322" s="59"/>
      <c r="I322" s="59"/>
      <c r="J322" s="59"/>
      <c r="K322" s="59"/>
      <c r="L322" s="59"/>
      <c r="M322" s="59"/>
      <c r="N322" s="59"/>
      <c r="O322" s="59"/>
      <c r="P322" s="62"/>
      <c r="Q322" s="62"/>
    </row>
    <row r="323">
      <c r="A323" s="59"/>
      <c r="B323" s="60"/>
      <c r="C323" s="60"/>
      <c r="D323" s="61"/>
      <c r="E323" s="59"/>
      <c r="F323" s="59"/>
      <c r="G323" s="59"/>
      <c r="H323" s="59"/>
      <c r="I323" s="59"/>
      <c r="J323" s="59"/>
      <c r="K323" s="59"/>
      <c r="L323" s="59"/>
      <c r="M323" s="59"/>
      <c r="N323" s="59"/>
      <c r="O323" s="59"/>
      <c r="P323" s="62"/>
      <c r="Q323" s="62"/>
    </row>
    <row r="324">
      <c r="A324" s="59"/>
      <c r="B324" s="60"/>
      <c r="C324" s="60"/>
      <c r="D324" s="61"/>
      <c r="E324" s="59"/>
      <c r="F324" s="59"/>
      <c r="G324" s="59"/>
      <c r="H324" s="59"/>
      <c r="I324" s="59"/>
      <c r="J324" s="59"/>
      <c r="K324" s="59"/>
      <c r="L324" s="59"/>
      <c r="M324" s="59"/>
      <c r="N324" s="59"/>
      <c r="O324" s="59"/>
      <c r="P324" s="62"/>
      <c r="Q324" s="62"/>
    </row>
    <row r="325">
      <c r="A325" s="59"/>
      <c r="B325" s="60"/>
      <c r="C325" s="60"/>
      <c r="D325" s="61"/>
      <c r="E325" s="59"/>
      <c r="F325" s="59"/>
      <c r="G325" s="59"/>
      <c r="H325" s="59"/>
      <c r="I325" s="59"/>
      <c r="J325" s="59"/>
      <c r="K325" s="59"/>
      <c r="L325" s="59"/>
      <c r="M325" s="59"/>
      <c r="N325" s="59"/>
      <c r="O325" s="59"/>
      <c r="P325" s="62"/>
      <c r="Q325" s="62"/>
    </row>
    <row r="326">
      <c r="A326" s="59"/>
      <c r="B326" s="60"/>
      <c r="C326" s="60"/>
      <c r="D326" s="61"/>
      <c r="E326" s="59"/>
      <c r="F326" s="59"/>
      <c r="G326" s="59"/>
      <c r="H326" s="59"/>
      <c r="I326" s="59"/>
      <c r="J326" s="59"/>
      <c r="K326" s="59"/>
      <c r="L326" s="59"/>
      <c r="M326" s="59"/>
      <c r="N326" s="59"/>
      <c r="O326" s="59"/>
      <c r="P326" s="62"/>
      <c r="Q326" s="62"/>
    </row>
    <row r="327">
      <c r="A327" s="59"/>
      <c r="B327" s="60"/>
      <c r="C327" s="60"/>
      <c r="D327" s="61"/>
      <c r="E327" s="59"/>
      <c r="F327" s="59"/>
      <c r="G327" s="59"/>
      <c r="H327" s="59"/>
      <c r="I327" s="59"/>
      <c r="J327" s="59"/>
      <c r="K327" s="59"/>
      <c r="L327" s="59"/>
      <c r="M327" s="59"/>
      <c r="N327" s="59"/>
      <c r="O327" s="59"/>
      <c r="P327" s="62"/>
      <c r="Q327" s="62"/>
    </row>
    <row r="328">
      <c r="A328" s="59"/>
      <c r="B328" s="60"/>
      <c r="C328" s="60"/>
      <c r="D328" s="61"/>
      <c r="E328" s="59"/>
      <c r="F328" s="59"/>
      <c r="G328" s="59"/>
      <c r="H328" s="59"/>
      <c r="I328" s="59"/>
      <c r="J328" s="59"/>
      <c r="K328" s="59"/>
      <c r="L328" s="59"/>
      <c r="M328" s="59"/>
      <c r="N328" s="59"/>
      <c r="O328" s="59"/>
      <c r="P328" s="62"/>
      <c r="Q328" s="62"/>
    </row>
    <row r="329">
      <c r="A329" s="59"/>
      <c r="B329" s="60"/>
      <c r="C329" s="60"/>
      <c r="D329" s="61"/>
      <c r="E329" s="59"/>
      <c r="F329" s="59"/>
      <c r="G329" s="59"/>
      <c r="H329" s="59"/>
      <c r="I329" s="59"/>
      <c r="J329" s="59"/>
      <c r="K329" s="59"/>
      <c r="L329" s="59"/>
      <c r="M329" s="59"/>
      <c r="N329" s="59"/>
      <c r="O329" s="59"/>
      <c r="P329" s="62"/>
      <c r="Q329" s="62"/>
    </row>
    <row r="330">
      <c r="A330" s="59"/>
      <c r="B330" s="60"/>
      <c r="C330" s="60"/>
      <c r="D330" s="61"/>
      <c r="E330" s="59"/>
      <c r="F330" s="59"/>
      <c r="G330" s="59"/>
      <c r="H330" s="59"/>
      <c r="I330" s="59"/>
      <c r="J330" s="59"/>
      <c r="K330" s="59"/>
      <c r="L330" s="59"/>
      <c r="M330" s="59"/>
      <c r="N330" s="59"/>
      <c r="O330" s="59"/>
      <c r="P330" s="62"/>
      <c r="Q330" s="62"/>
    </row>
    <row r="331">
      <c r="A331" s="59"/>
      <c r="B331" s="60"/>
      <c r="C331" s="60"/>
      <c r="D331" s="61"/>
      <c r="E331" s="59"/>
      <c r="F331" s="59"/>
      <c r="G331" s="59"/>
      <c r="H331" s="59"/>
      <c r="I331" s="59"/>
      <c r="J331" s="59"/>
      <c r="K331" s="59"/>
      <c r="L331" s="59"/>
      <c r="M331" s="59"/>
      <c r="N331" s="59"/>
      <c r="O331" s="59"/>
      <c r="P331" s="62"/>
      <c r="Q331" s="62"/>
    </row>
    <row r="332">
      <c r="A332" s="59"/>
      <c r="B332" s="60"/>
      <c r="C332" s="60"/>
      <c r="D332" s="61"/>
      <c r="E332" s="59"/>
      <c r="F332" s="59"/>
      <c r="G332" s="59"/>
      <c r="H332" s="59"/>
      <c r="I332" s="59"/>
      <c r="J332" s="59"/>
      <c r="K332" s="59"/>
      <c r="L332" s="59"/>
      <c r="M332" s="59"/>
      <c r="N332" s="59"/>
      <c r="O332" s="59"/>
      <c r="P332" s="62"/>
      <c r="Q332" s="62"/>
    </row>
    <row r="333">
      <c r="A333" s="59"/>
      <c r="B333" s="60"/>
      <c r="C333" s="60"/>
      <c r="D333" s="61"/>
      <c r="E333" s="59"/>
      <c r="F333" s="59"/>
      <c r="G333" s="59"/>
      <c r="H333" s="59"/>
      <c r="I333" s="59"/>
      <c r="J333" s="59"/>
      <c r="K333" s="59"/>
      <c r="L333" s="59"/>
      <c r="M333" s="59"/>
      <c r="N333" s="59"/>
      <c r="O333" s="59"/>
      <c r="P333" s="62"/>
      <c r="Q333" s="62"/>
    </row>
    <row r="334">
      <c r="A334" s="59"/>
      <c r="B334" s="60"/>
      <c r="C334" s="60"/>
      <c r="D334" s="61"/>
      <c r="E334" s="59"/>
      <c r="F334" s="59"/>
      <c r="G334" s="59"/>
      <c r="H334" s="59"/>
      <c r="I334" s="59"/>
      <c r="J334" s="59"/>
      <c r="K334" s="59"/>
      <c r="L334" s="59"/>
      <c r="M334" s="59"/>
      <c r="N334" s="59"/>
      <c r="O334" s="59"/>
      <c r="P334" s="62"/>
      <c r="Q334" s="62"/>
    </row>
    <row r="335">
      <c r="A335" s="59"/>
      <c r="B335" s="60"/>
      <c r="C335" s="60"/>
      <c r="D335" s="61"/>
      <c r="E335" s="59"/>
      <c r="F335" s="59"/>
      <c r="G335" s="59"/>
      <c r="H335" s="59"/>
      <c r="I335" s="59"/>
      <c r="J335" s="59"/>
      <c r="K335" s="59"/>
      <c r="L335" s="59"/>
      <c r="M335" s="59"/>
      <c r="N335" s="59"/>
      <c r="O335" s="59"/>
      <c r="P335" s="62"/>
      <c r="Q335" s="62"/>
    </row>
    <row r="336">
      <c r="A336" s="59"/>
      <c r="B336" s="60"/>
      <c r="C336" s="60"/>
      <c r="D336" s="61"/>
      <c r="E336" s="59"/>
      <c r="F336" s="59"/>
      <c r="G336" s="59"/>
      <c r="H336" s="59"/>
      <c r="I336" s="59"/>
      <c r="J336" s="59"/>
      <c r="K336" s="59"/>
      <c r="L336" s="59"/>
      <c r="M336" s="59"/>
      <c r="N336" s="59"/>
      <c r="O336" s="59"/>
      <c r="P336" s="62"/>
      <c r="Q336" s="62"/>
    </row>
    <row r="337">
      <c r="A337" s="59"/>
      <c r="B337" s="60"/>
      <c r="C337" s="60"/>
      <c r="D337" s="61"/>
      <c r="E337" s="59"/>
      <c r="F337" s="59"/>
      <c r="G337" s="59"/>
      <c r="H337" s="59"/>
      <c r="I337" s="59"/>
      <c r="J337" s="59"/>
      <c r="K337" s="59"/>
      <c r="L337" s="59"/>
      <c r="M337" s="59"/>
      <c r="N337" s="59"/>
      <c r="O337" s="59"/>
      <c r="P337" s="62"/>
      <c r="Q337" s="62"/>
    </row>
    <row r="338">
      <c r="A338" s="59"/>
      <c r="B338" s="60"/>
      <c r="C338" s="60"/>
      <c r="D338" s="61"/>
      <c r="E338" s="59"/>
      <c r="F338" s="59"/>
      <c r="G338" s="59"/>
      <c r="H338" s="59"/>
      <c r="I338" s="59"/>
      <c r="J338" s="59"/>
      <c r="K338" s="59"/>
      <c r="L338" s="59"/>
      <c r="M338" s="59"/>
      <c r="N338" s="59"/>
      <c r="O338" s="59"/>
      <c r="P338" s="62"/>
      <c r="Q338" s="62"/>
    </row>
    <row r="339">
      <c r="A339" s="59"/>
      <c r="B339" s="60"/>
      <c r="C339" s="60"/>
      <c r="D339" s="61"/>
      <c r="E339" s="59"/>
      <c r="F339" s="59"/>
      <c r="G339" s="59"/>
      <c r="H339" s="59"/>
      <c r="I339" s="59"/>
      <c r="J339" s="59"/>
      <c r="K339" s="59"/>
      <c r="L339" s="59"/>
      <c r="M339" s="59"/>
      <c r="N339" s="59"/>
      <c r="O339" s="59"/>
      <c r="P339" s="62"/>
      <c r="Q339" s="62"/>
    </row>
    <row r="340">
      <c r="A340" s="59"/>
      <c r="B340" s="60"/>
      <c r="C340" s="60"/>
      <c r="D340" s="61"/>
      <c r="E340" s="59"/>
      <c r="F340" s="59"/>
      <c r="G340" s="59"/>
      <c r="H340" s="59"/>
      <c r="I340" s="59"/>
      <c r="J340" s="59"/>
      <c r="K340" s="59"/>
      <c r="L340" s="59"/>
      <c r="M340" s="59"/>
      <c r="N340" s="59"/>
      <c r="O340" s="59"/>
      <c r="P340" s="62"/>
      <c r="Q340" s="62"/>
    </row>
    <row r="341">
      <c r="A341" s="59"/>
      <c r="B341" s="60"/>
      <c r="C341" s="60"/>
      <c r="D341" s="61"/>
      <c r="E341" s="59"/>
      <c r="F341" s="59"/>
      <c r="G341" s="59"/>
      <c r="H341" s="59"/>
      <c r="I341" s="59"/>
      <c r="J341" s="59"/>
      <c r="K341" s="59"/>
      <c r="L341" s="59"/>
      <c r="M341" s="59"/>
      <c r="N341" s="59"/>
      <c r="O341" s="59"/>
      <c r="P341" s="62"/>
      <c r="Q341" s="62"/>
    </row>
    <row r="342">
      <c r="A342" s="59"/>
      <c r="B342" s="60"/>
      <c r="C342" s="60"/>
      <c r="D342" s="61"/>
      <c r="E342" s="59"/>
      <c r="F342" s="59"/>
      <c r="G342" s="59"/>
      <c r="H342" s="59"/>
      <c r="I342" s="59"/>
      <c r="J342" s="59"/>
      <c r="K342" s="59"/>
      <c r="L342" s="59"/>
      <c r="M342" s="59"/>
      <c r="N342" s="59"/>
      <c r="O342" s="59"/>
      <c r="P342" s="62"/>
      <c r="Q342" s="62"/>
    </row>
    <row r="343">
      <c r="A343" s="59"/>
      <c r="B343" s="60"/>
      <c r="C343" s="60"/>
      <c r="D343" s="61"/>
      <c r="E343" s="59"/>
      <c r="F343" s="59"/>
      <c r="G343" s="59"/>
      <c r="H343" s="59"/>
      <c r="I343" s="59"/>
      <c r="J343" s="59"/>
      <c r="K343" s="59"/>
      <c r="L343" s="59"/>
      <c r="M343" s="59"/>
      <c r="N343" s="59"/>
      <c r="O343" s="59"/>
      <c r="P343" s="62"/>
      <c r="Q343" s="62"/>
    </row>
    <row r="344">
      <c r="A344" s="59"/>
      <c r="B344" s="60"/>
      <c r="C344" s="60"/>
      <c r="D344" s="61"/>
      <c r="E344" s="59"/>
      <c r="F344" s="59"/>
      <c r="G344" s="59"/>
      <c r="H344" s="59"/>
      <c r="I344" s="59"/>
      <c r="J344" s="59"/>
      <c r="K344" s="59"/>
      <c r="L344" s="59"/>
      <c r="M344" s="59"/>
      <c r="N344" s="59"/>
      <c r="O344" s="59"/>
      <c r="P344" s="62"/>
      <c r="Q344" s="62"/>
    </row>
    <row r="345">
      <c r="A345" s="59"/>
      <c r="B345" s="60"/>
      <c r="C345" s="60"/>
      <c r="D345" s="61"/>
      <c r="E345" s="59"/>
      <c r="F345" s="59"/>
      <c r="G345" s="59"/>
      <c r="H345" s="59"/>
      <c r="I345" s="59"/>
      <c r="J345" s="59"/>
      <c r="K345" s="59"/>
      <c r="L345" s="59"/>
      <c r="M345" s="59"/>
      <c r="N345" s="59"/>
      <c r="O345" s="59"/>
      <c r="P345" s="62"/>
      <c r="Q345" s="62"/>
    </row>
    <row r="346">
      <c r="A346" s="59"/>
      <c r="B346" s="60"/>
      <c r="C346" s="60"/>
      <c r="D346" s="61"/>
      <c r="E346" s="59"/>
      <c r="F346" s="59"/>
      <c r="G346" s="59"/>
      <c r="H346" s="59"/>
      <c r="I346" s="59"/>
      <c r="J346" s="59"/>
      <c r="K346" s="59"/>
      <c r="L346" s="59"/>
      <c r="M346" s="59"/>
      <c r="N346" s="59"/>
      <c r="O346" s="59"/>
      <c r="P346" s="62"/>
      <c r="Q346" s="62"/>
    </row>
    <row r="347">
      <c r="A347" s="59"/>
      <c r="B347" s="60"/>
      <c r="C347" s="60"/>
      <c r="D347" s="61"/>
      <c r="E347" s="59"/>
      <c r="F347" s="59"/>
      <c r="G347" s="59"/>
      <c r="H347" s="59"/>
      <c r="I347" s="59"/>
      <c r="J347" s="59"/>
      <c r="K347" s="59"/>
      <c r="L347" s="59"/>
      <c r="M347" s="59"/>
      <c r="N347" s="59"/>
      <c r="O347" s="59"/>
      <c r="P347" s="62"/>
      <c r="Q347" s="62"/>
    </row>
    <row r="348">
      <c r="A348" s="59"/>
      <c r="B348" s="60"/>
      <c r="C348" s="60"/>
      <c r="D348" s="61"/>
      <c r="E348" s="59"/>
      <c r="F348" s="59"/>
      <c r="G348" s="59"/>
      <c r="H348" s="59"/>
      <c r="I348" s="59"/>
      <c r="J348" s="59"/>
      <c r="K348" s="59"/>
      <c r="L348" s="59"/>
      <c r="M348" s="59"/>
      <c r="N348" s="59"/>
      <c r="O348" s="59"/>
      <c r="P348" s="62"/>
      <c r="Q348" s="62"/>
    </row>
    <row r="349">
      <c r="A349" s="59"/>
      <c r="B349" s="60"/>
      <c r="C349" s="60"/>
      <c r="D349" s="61"/>
      <c r="E349" s="59"/>
      <c r="F349" s="59"/>
      <c r="G349" s="59"/>
      <c r="H349" s="59"/>
      <c r="I349" s="59"/>
      <c r="J349" s="59"/>
      <c r="K349" s="59"/>
      <c r="L349" s="59"/>
      <c r="M349" s="59"/>
      <c r="N349" s="59"/>
      <c r="O349" s="59"/>
      <c r="P349" s="62"/>
      <c r="Q349" s="62"/>
    </row>
    <row r="350">
      <c r="A350" s="59"/>
      <c r="B350" s="60"/>
      <c r="C350" s="60"/>
      <c r="D350" s="61"/>
      <c r="E350" s="59"/>
      <c r="F350" s="59"/>
      <c r="G350" s="59"/>
      <c r="H350" s="59"/>
      <c r="I350" s="59"/>
      <c r="J350" s="59"/>
      <c r="K350" s="59"/>
      <c r="L350" s="59"/>
      <c r="M350" s="59"/>
      <c r="N350" s="59"/>
      <c r="O350" s="59"/>
      <c r="P350" s="62"/>
      <c r="Q350" s="62"/>
    </row>
    <row r="351">
      <c r="A351" s="59"/>
      <c r="B351" s="60"/>
      <c r="C351" s="60"/>
      <c r="D351" s="61"/>
      <c r="E351" s="59"/>
      <c r="F351" s="59"/>
      <c r="G351" s="59"/>
      <c r="H351" s="59"/>
      <c r="I351" s="59"/>
      <c r="J351" s="59"/>
      <c r="K351" s="59"/>
      <c r="L351" s="59"/>
      <c r="M351" s="59"/>
      <c r="N351" s="59"/>
      <c r="O351" s="59"/>
      <c r="P351" s="62"/>
      <c r="Q351" s="62"/>
    </row>
    <row r="352">
      <c r="A352" s="59"/>
      <c r="B352" s="60"/>
      <c r="C352" s="60"/>
      <c r="D352" s="61"/>
      <c r="E352" s="59"/>
      <c r="F352" s="59"/>
      <c r="G352" s="59"/>
      <c r="H352" s="59"/>
      <c r="I352" s="59"/>
      <c r="J352" s="59"/>
      <c r="K352" s="59"/>
      <c r="L352" s="59"/>
      <c r="M352" s="59"/>
      <c r="N352" s="59"/>
      <c r="O352" s="59"/>
      <c r="P352" s="62"/>
      <c r="Q352" s="62"/>
    </row>
    <row r="353">
      <c r="A353" s="59"/>
      <c r="B353" s="60"/>
      <c r="C353" s="60"/>
      <c r="D353" s="61"/>
      <c r="E353" s="59"/>
      <c r="F353" s="59"/>
      <c r="G353" s="59"/>
      <c r="H353" s="59"/>
      <c r="I353" s="59"/>
      <c r="J353" s="59"/>
      <c r="K353" s="59"/>
      <c r="L353" s="59"/>
      <c r="M353" s="59"/>
      <c r="N353" s="59"/>
      <c r="O353" s="59"/>
      <c r="P353" s="62"/>
      <c r="Q353" s="62"/>
    </row>
    <row r="354">
      <c r="A354" s="59"/>
      <c r="B354" s="60"/>
      <c r="C354" s="60"/>
      <c r="D354" s="61"/>
      <c r="E354" s="59"/>
      <c r="F354" s="59"/>
      <c r="G354" s="59"/>
      <c r="H354" s="59"/>
      <c r="I354" s="59"/>
      <c r="J354" s="59"/>
      <c r="K354" s="59"/>
      <c r="L354" s="59"/>
      <c r="M354" s="59"/>
      <c r="N354" s="59"/>
      <c r="O354" s="59"/>
      <c r="P354" s="62"/>
      <c r="Q354" s="62"/>
    </row>
    <row r="355">
      <c r="A355" s="59"/>
      <c r="B355" s="60"/>
      <c r="C355" s="60"/>
      <c r="D355" s="61"/>
      <c r="E355" s="59"/>
      <c r="F355" s="59"/>
      <c r="G355" s="59"/>
      <c r="H355" s="59"/>
      <c r="I355" s="59"/>
      <c r="J355" s="59"/>
      <c r="K355" s="59"/>
      <c r="L355" s="59"/>
      <c r="M355" s="59"/>
      <c r="N355" s="59"/>
      <c r="O355" s="59"/>
      <c r="P355" s="62"/>
      <c r="Q355" s="62"/>
    </row>
    <row r="356">
      <c r="A356" s="59"/>
      <c r="B356" s="60"/>
      <c r="C356" s="60"/>
      <c r="D356" s="61"/>
      <c r="E356" s="59"/>
      <c r="F356" s="59"/>
      <c r="G356" s="59"/>
      <c r="H356" s="59"/>
      <c r="I356" s="59"/>
      <c r="J356" s="59"/>
      <c r="K356" s="59"/>
      <c r="L356" s="59"/>
      <c r="M356" s="59"/>
      <c r="N356" s="59"/>
      <c r="O356" s="59"/>
      <c r="P356" s="62"/>
      <c r="Q356" s="62"/>
    </row>
    <row r="357">
      <c r="A357" s="59"/>
      <c r="B357" s="60"/>
      <c r="C357" s="60"/>
      <c r="D357" s="61"/>
      <c r="E357" s="59"/>
      <c r="F357" s="59"/>
      <c r="G357" s="59"/>
      <c r="H357" s="59"/>
      <c r="I357" s="59"/>
      <c r="J357" s="59"/>
      <c r="K357" s="59"/>
      <c r="L357" s="59"/>
      <c r="M357" s="59"/>
      <c r="N357" s="59"/>
      <c r="O357" s="59"/>
      <c r="P357" s="62"/>
      <c r="Q357" s="62"/>
    </row>
    <row r="358">
      <c r="A358" s="59"/>
      <c r="B358" s="60"/>
      <c r="C358" s="60"/>
      <c r="D358" s="61"/>
      <c r="E358" s="59"/>
      <c r="F358" s="59"/>
      <c r="G358" s="59"/>
      <c r="H358" s="59"/>
      <c r="I358" s="59"/>
      <c r="J358" s="59"/>
      <c r="K358" s="59"/>
      <c r="L358" s="59"/>
      <c r="M358" s="59"/>
      <c r="N358" s="59"/>
      <c r="O358" s="59"/>
      <c r="P358" s="62"/>
      <c r="Q358" s="62"/>
    </row>
    <row r="359">
      <c r="A359" s="59"/>
      <c r="B359" s="60"/>
      <c r="C359" s="60"/>
      <c r="D359" s="61"/>
      <c r="E359" s="59"/>
      <c r="F359" s="59"/>
      <c r="G359" s="59"/>
      <c r="H359" s="59"/>
      <c r="I359" s="59"/>
      <c r="J359" s="59"/>
      <c r="K359" s="59"/>
      <c r="L359" s="59"/>
      <c r="M359" s="59"/>
      <c r="N359" s="59"/>
      <c r="O359" s="59"/>
      <c r="P359" s="62"/>
      <c r="Q359" s="62"/>
    </row>
    <row r="360">
      <c r="A360" s="59"/>
      <c r="B360" s="60"/>
      <c r="C360" s="60"/>
      <c r="D360" s="61"/>
      <c r="E360" s="59"/>
      <c r="F360" s="59"/>
      <c r="G360" s="59"/>
      <c r="H360" s="59"/>
      <c r="I360" s="59"/>
      <c r="J360" s="59"/>
      <c r="K360" s="59"/>
      <c r="L360" s="59"/>
      <c r="M360" s="59"/>
      <c r="N360" s="59"/>
      <c r="O360" s="59"/>
      <c r="P360" s="62"/>
      <c r="Q360" s="62"/>
    </row>
    <row r="361">
      <c r="A361" s="59"/>
      <c r="B361" s="60"/>
      <c r="C361" s="60"/>
      <c r="D361" s="61"/>
      <c r="E361" s="59"/>
      <c r="F361" s="59"/>
      <c r="G361" s="59"/>
      <c r="H361" s="59"/>
      <c r="I361" s="59"/>
      <c r="J361" s="59"/>
      <c r="K361" s="59"/>
      <c r="L361" s="59"/>
      <c r="M361" s="59"/>
      <c r="N361" s="59"/>
      <c r="O361" s="59"/>
      <c r="P361" s="62"/>
      <c r="Q361" s="62"/>
    </row>
    <row r="362">
      <c r="A362" s="59"/>
      <c r="B362" s="60"/>
      <c r="C362" s="60"/>
      <c r="D362" s="61"/>
      <c r="E362" s="59"/>
      <c r="F362" s="59"/>
      <c r="G362" s="59"/>
      <c r="H362" s="59"/>
      <c r="I362" s="59"/>
      <c r="J362" s="59"/>
      <c r="K362" s="59"/>
      <c r="L362" s="59"/>
      <c r="M362" s="59"/>
      <c r="N362" s="59"/>
      <c r="O362" s="59"/>
      <c r="P362" s="62"/>
      <c r="Q362" s="62"/>
    </row>
    <row r="363">
      <c r="A363" s="59"/>
      <c r="B363" s="60"/>
      <c r="C363" s="60"/>
      <c r="D363" s="61"/>
      <c r="E363" s="59"/>
      <c r="F363" s="59"/>
      <c r="G363" s="59"/>
      <c r="H363" s="59"/>
      <c r="I363" s="59"/>
      <c r="J363" s="59"/>
      <c r="K363" s="59"/>
      <c r="L363" s="59"/>
      <c r="M363" s="59"/>
      <c r="N363" s="59"/>
      <c r="O363" s="59"/>
      <c r="P363" s="62"/>
      <c r="Q363" s="62"/>
    </row>
    <row r="364">
      <c r="A364" s="59"/>
      <c r="B364" s="60"/>
      <c r="C364" s="60"/>
      <c r="D364" s="61"/>
      <c r="E364" s="59"/>
      <c r="F364" s="59"/>
      <c r="G364" s="59"/>
      <c r="H364" s="59"/>
      <c r="I364" s="59"/>
      <c r="J364" s="59"/>
      <c r="K364" s="59"/>
      <c r="L364" s="59"/>
      <c r="M364" s="59"/>
      <c r="N364" s="59"/>
      <c r="O364" s="59"/>
      <c r="P364" s="62"/>
      <c r="Q364" s="62"/>
    </row>
    <row r="365">
      <c r="A365" s="59"/>
      <c r="B365" s="60"/>
      <c r="C365" s="60"/>
      <c r="D365" s="61"/>
      <c r="E365" s="59"/>
      <c r="F365" s="59"/>
      <c r="G365" s="59"/>
      <c r="H365" s="59"/>
      <c r="I365" s="59"/>
      <c r="J365" s="59"/>
      <c r="K365" s="59"/>
      <c r="L365" s="59"/>
      <c r="M365" s="59"/>
      <c r="N365" s="59"/>
      <c r="O365" s="59"/>
      <c r="P365" s="62"/>
      <c r="Q365" s="62"/>
    </row>
    <row r="366">
      <c r="A366" s="59"/>
      <c r="B366" s="60"/>
      <c r="C366" s="60"/>
      <c r="D366" s="61"/>
      <c r="E366" s="59"/>
      <c r="F366" s="59"/>
      <c r="G366" s="59"/>
      <c r="H366" s="59"/>
      <c r="I366" s="59"/>
      <c r="J366" s="59"/>
      <c r="K366" s="59"/>
      <c r="L366" s="59"/>
      <c r="M366" s="59"/>
      <c r="N366" s="59"/>
      <c r="O366" s="59"/>
      <c r="P366" s="62"/>
      <c r="Q366" s="62"/>
    </row>
    <row r="367">
      <c r="A367" s="59"/>
      <c r="B367" s="60"/>
      <c r="C367" s="60"/>
      <c r="D367" s="61"/>
      <c r="E367" s="59"/>
      <c r="F367" s="59"/>
      <c r="G367" s="59"/>
      <c r="H367" s="59"/>
      <c r="I367" s="59"/>
      <c r="J367" s="59"/>
      <c r="K367" s="59"/>
      <c r="L367" s="59"/>
      <c r="M367" s="59"/>
      <c r="N367" s="59"/>
      <c r="O367" s="59"/>
      <c r="P367" s="62"/>
      <c r="Q367" s="62"/>
    </row>
    <row r="368">
      <c r="A368" s="59"/>
      <c r="B368" s="60"/>
      <c r="C368" s="60"/>
      <c r="D368" s="61"/>
      <c r="E368" s="59"/>
      <c r="F368" s="59"/>
      <c r="G368" s="59"/>
      <c r="H368" s="59"/>
      <c r="I368" s="59"/>
      <c r="J368" s="59"/>
      <c r="K368" s="59"/>
      <c r="L368" s="59"/>
      <c r="M368" s="59"/>
      <c r="N368" s="59"/>
      <c r="O368" s="59"/>
      <c r="P368" s="62"/>
      <c r="Q368" s="62"/>
    </row>
    <row r="369">
      <c r="A369" s="59"/>
      <c r="B369" s="60"/>
      <c r="C369" s="60"/>
      <c r="D369" s="61"/>
      <c r="E369" s="59"/>
      <c r="F369" s="59"/>
      <c r="G369" s="59"/>
      <c r="H369" s="59"/>
      <c r="I369" s="59"/>
      <c r="J369" s="59"/>
      <c r="K369" s="59"/>
      <c r="L369" s="59"/>
      <c r="M369" s="59"/>
      <c r="N369" s="59"/>
      <c r="O369" s="59"/>
      <c r="P369" s="62"/>
      <c r="Q369" s="62"/>
    </row>
    <row r="370">
      <c r="A370" s="59"/>
      <c r="B370" s="60"/>
      <c r="C370" s="60"/>
      <c r="D370" s="61"/>
      <c r="E370" s="59"/>
      <c r="F370" s="59"/>
      <c r="G370" s="59"/>
      <c r="H370" s="59"/>
      <c r="I370" s="59"/>
      <c r="J370" s="59"/>
      <c r="K370" s="59"/>
      <c r="L370" s="59"/>
      <c r="M370" s="59"/>
      <c r="N370" s="59"/>
      <c r="O370" s="59"/>
      <c r="P370" s="62"/>
      <c r="Q370" s="62"/>
    </row>
    <row r="371">
      <c r="A371" s="59"/>
      <c r="B371" s="60"/>
      <c r="C371" s="60"/>
      <c r="D371" s="61"/>
      <c r="E371" s="59"/>
      <c r="F371" s="59"/>
      <c r="G371" s="59"/>
      <c r="H371" s="59"/>
      <c r="I371" s="59"/>
      <c r="J371" s="59"/>
      <c r="K371" s="59"/>
      <c r="L371" s="59"/>
      <c r="M371" s="59"/>
      <c r="N371" s="59"/>
      <c r="O371" s="59"/>
      <c r="P371" s="62"/>
      <c r="Q371" s="62"/>
    </row>
    <row r="372">
      <c r="A372" s="59"/>
      <c r="B372" s="60"/>
      <c r="C372" s="60"/>
      <c r="D372" s="61"/>
      <c r="E372" s="59"/>
      <c r="F372" s="59"/>
      <c r="G372" s="59"/>
      <c r="H372" s="59"/>
      <c r="I372" s="59"/>
      <c r="J372" s="59"/>
      <c r="K372" s="59"/>
      <c r="L372" s="59"/>
      <c r="M372" s="59"/>
      <c r="N372" s="59"/>
      <c r="O372" s="59"/>
      <c r="P372" s="62"/>
      <c r="Q372" s="62"/>
    </row>
    <row r="373">
      <c r="A373" s="59"/>
      <c r="B373" s="60"/>
      <c r="C373" s="60"/>
      <c r="D373" s="61"/>
      <c r="E373" s="59"/>
      <c r="F373" s="59"/>
      <c r="G373" s="59"/>
      <c r="H373" s="59"/>
      <c r="I373" s="59"/>
      <c r="J373" s="59"/>
      <c r="K373" s="59"/>
      <c r="L373" s="59"/>
      <c r="M373" s="59"/>
      <c r="N373" s="59"/>
      <c r="O373" s="59"/>
      <c r="P373" s="62"/>
      <c r="Q373" s="62"/>
    </row>
    <row r="374">
      <c r="A374" s="59"/>
      <c r="B374" s="60"/>
      <c r="C374" s="60"/>
      <c r="D374" s="61"/>
      <c r="E374" s="59"/>
      <c r="F374" s="59"/>
      <c r="G374" s="59"/>
      <c r="H374" s="59"/>
      <c r="I374" s="59"/>
      <c r="J374" s="59"/>
      <c r="K374" s="59"/>
      <c r="L374" s="59"/>
      <c r="M374" s="59"/>
      <c r="N374" s="59"/>
      <c r="O374" s="59"/>
      <c r="P374" s="62"/>
      <c r="Q374" s="62"/>
    </row>
    <row r="375">
      <c r="A375" s="59"/>
      <c r="B375" s="60"/>
      <c r="C375" s="60"/>
      <c r="D375" s="61"/>
      <c r="E375" s="59"/>
      <c r="F375" s="59"/>
      <c r="G375" s="59"/>
      <c r="H375" s="59"/>
      <c r="I375" s="59"/>
      <c r="J375" s="59"/>
      <c r="K375" s="59"/>
      <c r="L375" s="59"/>
      <c r="M375" s="59"/>
      <c r="N375" s="59"/>
      <c r="O375" s="59"/>
      <c r="P375" s="62"/>
      <c r="Q375" s="62"/>
    </row>
    <row r="376">
      <c r="A376" s="59"/>
      <c r="B376" s="60"/>
      <c r="C376" s="60"/>
      <c r="D376" s="61"/>
      <c r="E376" s="59"/>
      <c r="F376" s="59"/>
      <c r="G376" s="59"/>
      <c r="H376" s="59"/>
      <c r="I376" s="59"/>
      <c r="J376" s="59"/>
      <c r="K376" s="59"/>
      <c r="L376" s="59"/>
      <c r="M376" s="59"/>
      <c r="N376" s="59"/>
      <c r="O376" s="59"/>
      <c r="P376" s="62"/>
      <c r="Q376" s="62"/>
    </row>
    <row r="377">
      <c r="A377" s="59"/>
      <c r="B377" s="60"/>
      <c r="C377" s="60"/>
      <c r="D377" s="61"/>
      <c r="E377" s="59"/>
      <c r="F377" s="59"/>
      <c r="G377" s="59"/>
      <c r="H377" s="59"/>
      <c r="I377" s="59"/>
      <c r="J377" s="59"/>
      <c r="K377" s="59"/>
      <c r="L377" s="59"/>
      <c r="M377" s="59"/>
      <c r="N377" s="59"/>
      <c r="O377" s="59"/>
      <c r="P377" s="62"/>
      <c r="Q377" s="62"/>
    </row>
    <row r="378">
      <c r="A378" s="59"/>
      <c r="B378" s="60"/>
      <c r="C378" s="60"/>
      <c r="D378" s="61"/>
      <c r="E378" s="59"/>
      <c r="F378" s="59"/>
      <c r="G378" s="59"/>
      <c r="H378" s="59"/>
      <c r="I378" s="59"/>
      <c r="J378" s="59"/>
      <c r="K378" s="59"/>
      <c r="L378" s="59"/>
      <c r="M378" s="59"/>
      <c r="N378" s="59"/>
      <c r="O378" s="59"/>
      <c r="P378" s="62"/>
      <c r="Q378" s="62"/>
    </row>
    <row r="379">
      <c r="A379" s="59"/>
      <c r="B379" s="60"/>
      <c r="C379" s="60"/>
      <c r="D379" s="61"/>
      <c r="E379" s="59"/>
      <c r="F379" s="59"/>
      <c r="G379" s="59"/>
      <c r="H379" s="59"/>
      <c r="I379" s="59"/>
      <c r="J379" s="59"/>
      <c r="K379" s="59"/>
      <c r="L379" s="59"/>
      <c r="M379" s="59"/>
      <c r="N379" s="59"/>
      <c r="O379" s="59"/>
      <c r="P379" s="62"/>
      <c r="Q379" s="62"/>
    </row>
    <row r="380">
      <c r="A380" s="59"/>
      <c r="B380" s="60"/>
      <c r="C380" s="60"/>
      <c r="D380" s="61"/>
      <c r="E380" s="59"/>
      <c r="F380" s="59"/>
      <c r="G380" s="59"/>
      <c r="H380" s="59"/>
      <c r="I380" s="59"/>
      <c r="J380" s="59"/>
      <c r="K380" s="59"/>
      <c r="L380" s="59"/>
      <c r="M380" s="59"/>
      <c r="N380" s="59"/>
      <c r="O380" s="59"/>
      <c r="P380" s="62"/>
      <c r="Q380" s="62"/>
    </row>
    <row r="381">
      <c r="A381" s="59"/>
      <c r="B381" s="60"/>
      <c r="C381" s="60"/>
      <c r="D381" s="61"/>
      <c r="E381" s="59"/>
      <c r="F381" s="59"/>
      <c r="G381" s="59"/>
      <c r="H381" s="59"/>
      <c r="I381" s="59"/>
      <c r="J381" s="59"/>
      <c r="K381" s="59"/>
      <c r="L381" s="59"/>
      <c r="M381" s="59"/>
      <c r="N381" s="59"/>
      <c r="O381" s="59"/>
      <c r="P381" s="62"/>
      <c r="Q381" s="62"/>
    </row>
    <row r="382">
      <c r="A382" s="59"/>
      <c r="B382" s="60"/>
      <c r="C382" s="60"/>
      <c r="D382" s="61"/>
      <c r="E382" s="59"/>
      <c r="F382" s="59"/>
      <c r="G382" s="59"/>
      <c r="H382" s="59"/>
      <c r="I382" s="59"/>
      <c r="J382" s="59"/>
      <c r="K382" s="59"/>
      <c r="L382" s="59"/>
      <c r="M382" s="59"/>
      <c r="N382" s="59"/>
      <c r="O382" s="59"/>
      <c r="P382" s="62"/>
      <c r="Q382" s="62"/>
    </row>
    <row r="383">
      <c r="A383" s="59"/>
      <c r="B383" s="60"/>
      <c r="C383" s="60"/>
      <c r="D383" s="61"/>
      <c r="E383" s="59"/>
      <c r="F383" s="59"/>
      <c r="G383" s="59"/>
      <c r="H383" s="59"/>
      <c r="I383" s="59"/>
      <c r="J383" s="59"/>
      <c r="K383" s="59"/>
      <c r="L383" s="59"/>
      <c r="M383" s="59"/>
      <c r="N383" s="59"/>
      <c r="O383" s="59"/>
      <c r="P383" s="62"/>
      <c r="Q383" s="62"/>
    </row>
    <row r="384">
      <c r="A384" s="59"/>
      <c r="B384" s="60"/>
      <c r="C384" s="60"/>
      <c r="D384" s="61"/>
      <c r="E384" s="59"/>
      <c r="F384" s="59"/>
      <c r="G384" s="59"/>
      <c r="H384" s="59"/>
      <c r="I384" s="59"/>
      <c r="J384" s="59"/>
      <c r="K384" s="59"/>
      <c r="L384" s="59"/>
      <c r="M384" s="59"/>
      <c r="N384" s="59"/>
      <c r="O384" s="59"/>
      <c r="P384" s="62"/>
      <c r="Q384" s="62"/>
    </row>
    <row r="385">
      <c r="A385" s="59"/>
      <c r="B385" s="60"/>
      <c r="C385" s="60"/>
      <c r="D385" s="61"/>
      <c r="E385" s="59"/>
      <c r="F385" s="59"/>
      <c r="G385" s="59"/>
      <c r="H385" s="59"/>
      <c r="I385" s="59"/>
      <c r="J385" s="59"/>
      <c r="K385" s="59"/>
      <c r="L385" s="59"/>
      <c r="M385" s="59"/>
      <c r="N385" s="59"/>
      <c r="O385" s="59"/>
      <c r="P385" s="62"/>
      <c r="Q385" s="62"/>
    </row>
    <row r="386">
      <c r="A386" s="59"/>
      <c r="B386" s="60"/>
      <c r="C386" s="60"/>
      <c r="D386" s="61"/>
      <c r="E386" s="59"/>
      <c r="F386" s="59"/>
      <c r="G386" s="59"/>
      <c r="H386" s="59"/>
      <c r="I386" s="59"/>
      <c r="J386" s="59"/>
      <c r="K386" s="59"/>
      <c r="L386" s="59"/>
      <c r="M386" s="59"/>
      <c r="N386" s="59"/>
      <c r="O386" s="59"/>
      <c r="P386" s="62"/>
      <c r="Q386" s="62"/>
    </row>
    <row r="387">
      <c r="A387" s="59"/>
      <c r="B387" s="60"/>
      <c r="C387" s="60"/>
      <c r="D387" s="61"/>
      <c r="E387" s="59"/>
      <c r="F387" s="59"/>
      <c r="G387" s="59"/>
      <c r="H387" s="59"/>
      <c r="I387" s="59"/>
      <c r="J387" s="59"/>
      <c r="K387" s="59"/>
      <c r="L387" s="59"/>
      <c r="M387" s="59"/>
      <c r="N387" s="59"/>
      <c r="O387" s="59"/>
      <c r="P387" s="62"/>
      <c r="Q387" s="62"/>
    </row>
    <row r="388">
      <c r="A388" s="59"/>
      <c r="B388" s="60"/>
      <c r="C388" s="60"/>
      <c r="D388" s="61"/>
      <c r="E388" s="59"/>
      <c r="F388" s="59"/>
      <c r="G388" s="59"/>
      <c r="H388" s="59"/>
      <c r="I388" s="59"/>
      <c r="J388" s="59"/>
      <c r="K388" s="59"/>
      <c r="L388" s="59"/>
      <c r="M388" s="59"/>
      <c r="N388" s="59"/>
      <c r="O388" s="59"/>
      <c r="P388" s="62"/>
      <c r="Q388" s="62"/>
    </row>
    <row r="389">
      <c r="A389" s="59"/>
      <c r="B389" s="60"/>
      <c r="C389" s="60"/>
      <c r="D389" s="61"/>
      <c r="E389" s="59"/>
      <c r="F389" s="59"/>
      <c r="G389" s="59"/>
      <c r="H389" s="59"/>
      <c r="I389" s="59"/>
      <c r="J389" s="59"/>
      <c r="K389" s="59"/>
      <c r="L389" s="59"/>
      <c r="M389" s="59"/>
      <c r="N389" s="59"/>
      <c r="O389" s="59"/>
      <c r="P389" s="62"/>
      <c r="Q389" s="62"/>
    </row>
    <row r="390">
      <c r="A390" s="59"/>
      <c r="B390" s="60"/>
      <c r="C390" s="60"/>
      <c r="D390" s="61"/>
      <c r="E390" s="59"/>
      <c r="F390" s="59"/>
      <c r="G390" s="59"/>
      <c r="H390" s="59"/>
      <c r="I390" s="59"/>
      <c r="J390" s="59"/>
      <c r="K390" s="59"/>
      <c r="L390" s="59"/>
      <c r="M390" s="59"/>
      <c r="N390" s="59"/>
      <c r="O390" s="59"/>
      <c r="P390" s="62"/>
      <c r="Q390" s="62"/>
    </row>
    <row r="391">
      <c r="A391" s="59"/>
      <c r="B391" s="60"/>
      <c r="C391" s="60"/>
      <c r="D391" s="61"/>
      <c r="E391" s="59"/>
      <c r="F391" s="59"/>
      <c r="G391" s="59"/>
      <c r="H391" s="59"/>
      <c r="I391" s="59"/>
      <c r="J391" s="59"/>
      <c r="K391" s="59"/>
      <c r="L391" s="59"/>
      <c r="M391" s="59"/>
      <c r="N391" s="59"/>
      <c r="O391" s="59"/>
      <c r="P391" s="62"/>
      <c r="Q391" s="62"/>
    </row>
    <row r="392">
      <c r="A392" s="59"/>
      <c r="B392" s="60"/>
      <c r="C392" s="60"/>
      <c r="D392" s="61"/>
      <c r="E392" s="59"/>
      <c r="F392" s="59"/>
      <c r="G392" s="59"/>
      <c r="H392" s="59"/>
      <c r="I392" s="59"/>
      <c r="J392" s="59"/>
      <c r="K392" s="59"/>
      <c r="L392" s="59"/>
      <c r="M392" s="59"/>
      <c r="N392" s="59"/>
      <c r="O392" s="59"/>
      <c r="P392" s="62"/>
      <c r="Q392" s="62"/>
    </row>
    <row r="393">
      <c r="A393" s="59"/>
      <c r="B393" s="60"/>
      <c r="C393" s="60"/>
      <c r="D393" s="61"/>
      <c r="E393" s="59"/>
      <c r="F393" s="59"/>
      <c r="G393" s="59"/>
      <c r="H393" s="59"/>
      <c r="I393" s="59"/>
      <c r="J393" s="59"/>
      <c r="K393" s="59"/>
      <c r="L393" s="59"/>
      <c r="M393" s="59"/>
      <c r="N393" s="59"/>
      <c r="O393" s="59"/>
      <c r="P393" s="62"/>
      <c r="Q393" s="62"/>
    </row>
    <row r="394">
      <c r="A394" s="59"/>
      <c r="B394" s="60"/>
      <c r="C394" s="60"/>
      <c r="D394" s="61"/>
      <c r="E394" s="59"/>
      <c r="F394" s="59"/>
      <c r="G394" s="59"/>
      <c r="H394" s="59"/>
      <c r="I394" s="59"/>
      <c r="J394" s="59"/>
      <c r="K394" s="59"/>
      <c r="L394" s="59"/>
      <c r="M394" s="59"/>
      <c r="N394" s="59"/>
      <c r="O394" s="59"/>
      <c r="P394" s="62"/>
      <c r="Q394" s="62"/>
    </row>
    <row r="395">
      <c r="A395" s="59"/>
      <c r="B395" s="60"/>
      <c r="C395" s="60"/>
      <c r="D395" s="61"/>
      <c r="E395" s="59"/>
      <c r="F395" s="59"/>
      <c r="G395" s="59"/>
      <c r="H395" s="59"/>
      <c r="I395" s="59"/>
      <c r="J395" s="59"/>
      <c r="K395" s="59"/>
      <c r="L395" s="59"/>
      <c r="M395" s="59"/>
      <c r="N395" s="59"/>
      <c r="O395" s="59"/>
      <c r="P395" s="62"/>
      <c r="Q395" s="62"/>
    </row>
    <row r="396">
      <c r="A396" s="59"/>
      <c r="B396" s="60"/>
      <c r="C396" s="60"/>
      <c r="D396" s="61"/>
      <c r="E396" s="59"/>
      <c r="F396" s="59"/>
      <c r="G396" s="59"/>
      <c r="H396" s="59"/>
      <c r="I396" s="59"/>
      <c r="J396" s="59"/>
      <c r="K396" s="59"/>
      <c r="L396" s="59"/>
      <c r="M396" s="59"/>
      <c r="N396" s="59"/>
      <c r="O396" s="59"/>
      <c r="P396" s="62"/>
      <c r="Q396" s="62"/>
    </row>
    <row r="397">
      <c r="A397" s="59"/>
      <c r="B397" s="60"/>
      <c r="C397" s="60"/>
      <c r="D397" s="61"/>
      <c r="E397" s="59"/>
      <c r="F397" s="59"/>
      <c r="G397" s="59"/>
      <c r="H397" s="59"/>
      <c r="I397" s="59"/>
      <c r="J397" s="59"/>
      <c r="K397" s="59"/>
      <c r="L397" s="59"/>
      <c r="M397" s="59"/>
      <c r="N397" s="59"/>
      <c r="O397" s="59"/>
      <c r="P397" s="62"/>
      <c r="Q397" s="62"/>
    </row>
    <row r="398">
      <c r="A398" s="59"/>
      <c r="B398" s="60"/>
      <c r="C398" s="60"/>
      <c r="D398" s="61"/>
      <c r="E398" s="59"/>
      <c r="F398" s="59"/>
      <c r="G398" s="59"/>
      <c r="H398" s="59"/>
      <c r="I398" s="59"/>
      <c r="J398" s="59"/>
      <c r="K398" s="59"/>
      <c r="L398" s="59"/>
      <c r="M398" s="59"/>
      <c r="N398" s="59"/>
      <c r="O398" s="59"/>
      <c r="P398" s="62"/>
      <c r="Q398" s="62"/>
    </row>
    <row r="399">
      <c r="A399" s="59"/>
      <c r="B399" s="60"/>
      <c r="C399" s="60"/>
      <c r="D399" s="61"/>
      <c r="E399" s="59"/>
      <c r="F399" s="59"/>
      <c r="G399" s="59"/>
      <c r="H399" s="59"/>
      <c r="I399" s="59"/>
      <c r="J399" s="59"/>
      <c r="K399" s="59"/>
      <c r="L399" s="59"/>
      <c r="M399" s="59"/>
      <c r="N399" s="59"/>
      <c r="O399" s="59"/>
      <c r="P399" s="62"/>
      <c r="Q399" s="62"/>
    </row>
    <row r="400">
      <c r="A400" s="59"/>
      <c r="B400" s="60"/>
      <c r="C400" s="60"/>
      <c r="D400" s="61"/>
      <c r="E400" s="59"/>
      <c r="F400" s="59"/>
      <c r="G400" s="59"/>
      <c r="H400" s="59"/>
      <c r="I400" s="59"/>
      <c r="J400" s="59"/>
      <c r="K400" s="59"/>
      <c r="L400" s="59"/>
      <c r="M400" s="59"/>
      <c r="N400" s="59"/>
      <c r="O400" s="59"/>
      <c r="P400" s="62"/>
      <c r="Q400" s="62"/>
    </row>
    <row r="401">
      <c r="A401" s="59"/>
      <c r="B401" s="60"/>
      <c r="C401" s="60"/>
      <c r="D401" s="61"/>
      <c r="E401" s="59"/>
      <c r="F401" s="59"/>
      <c r="G401" s="59"/>
      <c r="H401" s="59"/>
      <c r="I401" s="59"/>
      <c r="J401" s="59"/>
      <c r="K401" s="59"/>
      <c r="L401" s="59"/>
      <c r="M401" s="59"/>
      <c r="N401" s="59"/>
      <c r="O401" s="59"/>
      <c r="P401" s="62"/>
      <c r="Q401" s="62"/>
    </row>
    <row r="402">
      <c r="A402" s="59"/>
      <c r="B402" s="60"/>
      <c r="C402" s="60"/>
      <c r="D402" s="61"/>
      <c r="E402" s="59"/>
      <c r="F402" s="59"/>
      <c r="G402" s="59"/>
      <c r="H402" s="59"/>
      <c r="I402" s="59"/>
      <c r="J402" s="59"/>
      <c r="K402" s="59"/>
      <c r="L402" s="59"/>
      <c r="M402" s="59"/>
      <c r="N402" s="59"/>
      <c r="O402" s="59"/>
      <c r="P402" s="62"/>
      <c r="Q402" s="62"/>
    </row>
    <row r="403">
      <c r="A403" s="59"/>
      <c r="B403" s="60"/>
      <c r="C403" s="60"/>
      <c r="D403" s="61"/>
      <c r="E403" s="59"/>
      <c r="F403" s="59"/>
      <c r="G403" s="59"/>
      <c r="H403" s="59"/>
      <c r="I403" s="59"/>
      <c r="J403" s="59"/>
      <c r="K403" s="59"/>
      <c r="L403" s="59"/>
      <c r="M403" s="59"/>
      <c r="N403" s="59"/>
      <c r="O403" s="59"/>
      <c r="P403" s="62"/>
      <c r="Q403" s="62"/>
    </row>
    <row r="404">
      <c r="A404" s="59"/>
      <c r="B404" s="60"/>
      <c r="C404" s="60"/>
      <c r="D404" s="61"/>
      <c r="E404" s="59"/>
      <c r="F404" s="59"/>
      <c r="G404" s="59"/>
      <c r="H404" s="59"/>
      <c r="I404" s="59"/>
      <c r="J404" s="59"/>
      <c r="K404" s="59"/>
      <c r="L404" s="59"/>
      <c r="M404" s="59"/>
      <c r="N404" s="59"/>
      <c r="O404" s="59"/>
      <c r="P404" s="62"/>
      <c r="Q404" s="62"/>
    </row>
    <row r="405">
      <c r="A405" s="59"/>
      <c r="B405" s="60"/>
      <c r="C405" s="60"/>
      <c r="D405" s="61"/>
      <c r="E405" s="59"/>
      <c r="F405" s="59"/>
      <c r="G405" s="59"/>
      <c r="H405" s="59"/>
      <c r="I405" s="59"/>
      <c r="J405" s="59"/>
      <c r="K405" s="59"/>
      <c r="L405" s="59"/>
      <c r="M405" s="59"/>
      <c r="N405" s="59"/>
      <c r="O405" s="59"/>
      <c r="P405" s="62"/>
      <c r="Q405" s="62"/>
    </row>
    <row r="406">
      <c r="A406" s="59"/>
      <c r="B406" s="60"/>
      <c r="C406" s="60"/>
      <c r="D406" s="61"/>
      <c r="E406" s="59"/>
      <c r="F406" s="59"/>
      <c r="G406" s="59"/>
      <c r="H406" s="59"/>
      <c r="I406" s="59"/>
      <c r="J406" s="59"/>
      <c r="K406" s="59"/>
      <c r="L406" s="59"/>
      <c r="M406" s="59"/>
      <c r="N406" s="59"/>
      <c r="O406" s="59"/>
      <c r="P406" s="62"/>
      <c r="Q406" s="62"/>
    </row>
    <row r="407">
      <c r="A407" s="59"/>
      <c r="B407" s="60"/>
      <c r="C407" s="60"/>
      <c r="D407" s="61"/>
      <c r="E407" s="59"/>
      <c r="F407" s="59"/>
      <c r="G407" s="59"/>
      <c r="H407" s="59"/>
      <c r="I407" s="59"/>
      <c r="J407" s="59"/>
      <c r="K407" s="59"/>
      <c r="L407" s="59"/>
      <c r="M407" s="59"/>
      <c r="N407" s="59"/>
      <c r="O407" s="59"/>
      <c r="P407" s="62"/>
      <c r="Q407" s="62"/>
    </row>
    <row r="408">
      <c r="A408" s="59"/>
      <c r="B408" s="60"/>
      <c r="C408" s="60"/>
      <c r="D408" s="61"/>
      <c r="E408" s="59"/>
      <c r="F408" s="59"/>
      <c r="G408" s="59"/>
      <c r="H408" s="59"/>
      <c r="I408" s="59"/>
      <c r="J408" s="59"/>
      <c r="K408" s="59"/>
      <c r="L408" s="59"/>
      <c r="M408" s="59"/>
      <c r="N408" s="59"/>
      <c r="O408" s="59"/>
      <c r="P408" s="62"/>
      <c r="Q408" s="62"/>
    </row>
    <row r="409">
      <c r="A409" s="59"/>
      <c r="B409" s="60"/>
      <c r="C409" s="60"/>
      <c r="D409" s="61"/>
      <c r="E409" s="59"/>
      <c r="F409" s="59"/>
      <c r="G409" s="59"/>
      <c r="H409" s="59"/>
      <c r="I409" s="59"/>
      <c r="J409" s="59"/>
      <c r="K409" s="59"/>
      <c r="L409" s="59"/>
      <c r="M409" s="59"/>
      <c r="N409" s="59"/>
      <c r="O409" s="59"/>
      <c r="P409" s="62"/>
      <c r="Q409" s="62"/>
    </row>
    <row r="410">
      <c r="A410" s="59"/>
      <c r="B410" s="60"/>
      <c r="C410" s="60"/>
      <c r="D410" s="61"/>
      <c r="E410" s="59"/>
      <c r="F410" s="59"/>
      <c r="G410" s="59"/>
      <c r="H410" s="59"/>
      <c r="I410" s="59"/>
      <c r="J410" s="59"/>
      <c r="K410" s="59"/>
      <c r="L410" s="59"/>
      <c r="M410" s="59"/>
      <c r="N410" s="59"/>
      <c r="O410" s="59"/>
      <c r="P410" s="62"/>
      <c r="Q410" s="62"/>
    </row>
    <row r="411">
      <c r="A411" s="59"/>
      <c r="B411" s="60"/>
      <c r="C411" s="60"/>
      <c r="D411" s="61"/>
      <c r="E411" s="59"/>
      <c r="F411" s="59"/>
      <c r="G411" s="59"/>
      <c r="H411" s="59"/>
      <c r="I411" s="59"/>
      <c r="J411" s="59"/>
      <c r="K411" s="59"/>
      <c r="L411" s="59"/>
      <c r="M411" s="59"/>
      <c r="N411" s="59"/>
      <c r="O411" s="59"/>
      <c r="P411" s="62"/>
      <c r="Q411" s="62"/>
    </row>
    <row r="412">
      <c r="A412" s="59"/>
      <c r="B412" s="60"/>
      <c r="C412" s="60"/>
      <c r="D412" s="61"/>
      <c r="E412" s="59"/>
      <c r="F412" s="59"/>
      <c r="G412" s="59"/>
      <c r="H412" s="59"/>
      <c r="I412" s="59"/>
      <c r="J412" s="59"/>
      <c r="K412" s="59"/>
      <c r="L412" s="59"/>
      <c r="M412" s="59"/>
      <c r="N412" s="59"/>
      <c r="O412" s="59"/>
      <c r="P412" s="62"/>
      <c r="Q412" s="62"/>
    </row>
    <row r="413">
      <c r="A413" s="59"/>
      <c r="B413" s="60"/>
      <c r="C413" s="60"/>
      <c r="D413" s="61"/>
      <c r="E413" s="59"/>
      <c r="F413" s="59"/>
      <c r="G413" s="59"/>
      <c r="H413" s="59"/>
      <c r="I413" s="59"/>
      <c r="J413" s="59"/>
      <c r="K413" s="59"/>
      <c r="L413" s="59"/>
      <c r="M413" s="59"/>
      <c r="N413" s="59"/>
      <c r="O413" s="59"/>
      <c r="P413" s="62"/>
      <c r="Q413" s="62"/>
    </row>
    <row r="414">
      <c r="A414" s="59"/>
      <c r="B414" s="60"/>
      <c r="C414" s="60"/>
      <c r="D414" s="61"/>
      <c r="E414" s="59"/>
      <c r="F414" s="59"/>
      <c r="G414" s="59"/>
      <c r="H414" s="59"/>
      <c r="I414" s="59"/>
      <c r="J414" s="59"/>
      <c r="K414" s="59"/>
      <c r="L414" s="59"/>
      <c r="M414" s="59"/>
      <c r="N414" s="59"/>
      <c r="O414" s="59"/>
      <c r="P414" s="62"/>
      <c r="Q414" s="62"/>
    </row>
    <row r="415">
      <c r="A415" s="59"/>
      <c r="B415" s="60"/>
      <c r="C415" s="60"/>
      <c r="D415" s="61"/>
      <c r="E415" s="59"/>
      <c r="F415" s="59"/>
      <c r="G415" s="59"/>
      <c r="H415" s="59"/>
      <c r="I415" s="59"/>
      <c r="J415" s="59"/>
      <c r="K415" s="59"/>
      <c r="L415" s="59"/>
      <c r="M415" s="59"/>
      <c r="N415" s="59"/>
      <c r="O415" s="59"/>
      <c r="P415" s="62"/>
      <c r="Q415" s="62"/>
    </row>
    <row r="416">
      <c r="A416" s="59"/>
      <c r="B416" s="60"/>
      <c r="C416" s="60"/>
      <c r="D416" s="61"/>
      <c r="E416" s="59"/>
      <c r="F416" s="59"/>
      <c r="G416" s="59"/>
      <c r="H416" s="59"/>
      <c r="I416" s="59"/>
      <c r="J416" s="59"/>
      <c r="K416" s="59"/>
      <c r="L416" s="59"/>
      <c r="M416" s="59"/>
      <c r="N416" s="59"/>
      <c r="O416" s="59"/>
      <c r="P416" s="62"/>
      <c r="Q416" s="62"/>
    </row>
    <row r="417">
      <c r="A417" s="59"/>
      <c r="B417" s="60"/>
      <c r="C417" s="60"/>
      <c r="D417" s="61"/>
      <c r="E417" s="59"/>
      <c r="F417" s="59"/>
      <c r="G417" s="59"/>
      <c r="H417" s="59"/>
      <c r="I417" s="59"/>
      <c r="J417" s="59"/>
      <c r="K417" s="59"/>
      <c r="L417" s="59"/>
      <c r="M417" s="59"/>
      <c r="N417" s="59"/>
      <c r="O417" s="59"/>
      <c r="P417" s="62"/>
      <c r="Q417" s="62"/>
    </row>
    <row r="418">
      <c r="A418" s="59"/>
      <c r="B418" s="60"/>
      <c r="C418" s="60"/>
      <c r="D418" s="61"/>
      <c r="E418" s="59"/>
      <c r="F418" s="59"/>
      <c r="G418" s="59"/>
      <c r="H418" s="59"/>
      <c r="I418" s="59"/>
      <c r="J418" s="59"/>
      <c r="K418" s="59"/>
      <c r="L418" s="59"/>
      <c r="M418" s="59"/>
      <c r="N418" s="59"/>
      <c r="O418" s="59"/>
      <c r="P418" s="62"/>
      <c r="Q418" s="62"/>
    </row>
    <row r="419">
      <c r="A419" s="59"/>
      <c r="B419" s="60"/>
      <c r="C419" s="60"/>
      <c r="D419" s="61"/>
      <c r="E419" s="59"/>
      <c r="F419" s="59"/>
      <c r="G419" s="59"/>
      <c r="H419" s="59"/>
      <c r="I419" s="59"/>
      <c r="J419" s="59"/>
      <c r="K419" s="59"/>
      <c r="L419" s="59"/>
      <c r="M419" s="59"/>
      <c r="N419" s="59"/>
      <c r="O419" s="59"/>
      <c r="P419" s="62"/>
      <c r="Q419" s="62"/>
    </row>
    <row r="420">
      <c r="A420" s="59"/>
      <c r="B420" s="60"/>
      <c r="C420" s="60"/>
      <c r="D420" s="61"/>
      <c r="E420" s="59"/>
      <c r="F420" s="59"/>
      <c r="G420" s="59"/>
      <c r="H420" s="59"/>
      <c r="I420" s="59"/>
      <c r="J420" s="59"/>
      <c r="K420" s="59"/>
      <c r="L420" s="59"/>
      <c r="M420" s="59"/>
      <c r="N420" s="59"/>
      <c r="O420" s="59"/>
      <c r="P420" s="62"/>
      <c r="Q420" s="62"/>
    </row>
    <row r="421">
      <c r="A421" s="59"/>
      <c r="B421" s="60"/>
      <c r="C421" s="60"/>
      <c r="D421" s="61"/>
      <c r="E421" s="59"/>
      <c r="F421" s="59"/>
      <c r="G421" s="59"/>
      <c r="H421" s="59"/>
      <c r="I421" s="59"/>
      <c r="J421" s="59"/>
      <c r="K421" s="59"/>
      <c r="L421" s="59"/>
      <c r="M421" s="59"/>
      <c r="N421" s="59"/>
      <c r="O421" s="59"/>
      <c r="P421" s="62"/>
      <c r="Q421" s="62"/>
    </row>
    <row r="422">
      <c r="A422" s="59"/>
      <c r="B422" s="60"/>
      <c r="C422" s="60"/>
      <c r="D422" s="61"/>
      <c r="E422" s="59"/>
      <c r="F422" s="59"/>
      <c r="G422" s="59"/>
      <c r="H422" s="59"/>
      <c r="I422" s="59"/>
      <c r="J422" s="59"/>
      <c r="K422" s="59"/>
      <c r="L422" s="59"/>
      <c r="M422" s="59"/>
      <c r="N422" s="59"/>
      <c r="O422" s="59"/>
      <c r="P422" s="62"/>
      <c r="Q422" s="62"/>
    </row>
    <row r="423">
      <c r="A423" s="59"/>
      <c r="B423" s="60"/>
      <c r="C423" s="60"/>
      <c r="D423" s="61"/>
      <c r="E423" s="59"/>
      <c r="F423" s="59"/>
      <c r="G423" s="59"/>
      <c r="H423" s="59"/>
      <c r="I423" s="59"/>
      <c r="J423" s="59"/>
      <c r="K423" s="59"/>
      <c r="L423" s="59"/>
      <c r="M423" s="59"/>
      <c r="N423" s="59"/>
      <c r="O423" s="59"/>
      <c r="P423" s="62"/>
      <c r="Q423" s="62"/>
    </row>
    <row r="424">
      <c r="A424" s="59"/>
      <c r="B424" s="60"/>
      <c r="C424" s="60"/>
      <c r="D424" s="61"/>
      <c r="E424" s="59"/>
      <c r="F424" s="59"/>
      <c r="G424" s="59"/>
      <c r="H424" s="59"/>
      <c r="I424" s="59"/>
      <c r="J424" s="59"/>
      <c r="K424" s="59"/>
      <c r="L424" s="59"/>
      <c r="M424" s="59"/>
      <c r="N424" s="59"/>
      <c r="O424" s="59"/>
      <c r="P424" s="62"/>
      <c r="Q424" s="62"/>
    </row>
    <row r="425">
      <c r="A425" s="59"/>
      <c r="B425" s="60"/>
      <c r="C425" s="60"/>
      <c r="D425" s="61"/>
      <c r="E425" s="59"/>
      <c r="F425" s="59"/>
      <c r="G425" s="59"/>
      <c r="H425" s="59"/>
      <c r="I425" s="59"/>
      <c r="J425" s="59"/>
      <c r="K425" s="59"/>
      <c r="L425" s="59"/>
      <c r="M425" s="59"/>
      <c r="N425" s="59"/>
      <c r="O425" s="59"/>
      <c r="P425" s="62"/>
      <c r="Q425" s="62"/>
    </row>
    <row r="426">
      <c r="A426" s="59"/>
      <c r="B426" s="60"/>
      <c r="C426" s="60"/>
      <c r="D426" s="61"/>
      <c r="E426" s="59"/>
      <c r="F426" s="59"/>
      <c r="G426" s="59"/>
      <c r="H426" s="59"/>
      <c r="I426" s="59"/>
      <c r="J426" s="59"/>
      <c r="K426" s="59"/>
      <c r="L426" s="59"/>
      <c r="M426" s="59"/>
      <c r="N426" s="59"/>
      <c r="O426" s="59"/>
      <c r="P426" s="62"/>
      <c r="Q426" s="62"/>
    </row>
    <row r="427">
      <c r="A427" s="59"/>
      <c r="B427" s="60"/>
      <c r="C427" s="60"/>
      <c r="D427" s="61"/>
      <c r="E427" s="59"/>
      <c r="F427" s="59"/>
      <c r="G427" s="59"/>
      <c r="H427" s="59"/>
      <c r="I427" s="59"/>
      <c r="J427" s="59"/>
      <c r="K427" s="59"/>
      <c r="L427" s="59"/>
      <c r="M427" s="59"/>
      <c r="N427" s="59"/>
      <c r="O427" s="59"/>
      <c r="P427" s="62"/>
      <c r="Q427" s="62"/>
    </row>
    <row r="428">
      <c r="A428" s="59"/>
      <c r="B428" s="60"/>
      <c r="C428" s="60"/>
      <c r="D428" s="61"/>
      <c r="E428" s="59"/>
      <c r="F428" s="59"/>
      <c r="G428" s="59"/>
      <c r="H428" s="59"/>
      <c r="I428" s="59"/>
      <c r="J428" s="59"/>
      <c r="K428" s="59"/>
      <c r="L428" s="59"/>
      <c r="M428" s="59"/>
      <c r="N428" s="59"/>
      <c r="O428" s="59"/>
      <c r="P428" s="62"/>
      <c r="Q428" s="62"/>
    </row>
    <row r="429">
      <c r="A429" s="59"/>
      <c r="B429" s="60"/>
      <c r="C429" s="60"/>
      <c r="D429" s="61"/>
      <c r="E429" s="59"/>
      <c r="F429" s="59"/>
      <c r="G429" s="59"/>
      <c r="H429" s="59"/>
      <c r="I429" s="59"/>
      <c r="J429" s="59"/>
      <c r="K429" s="59"/>
      <c r="L429" s="59"/>
      <c r="M429" s="59"/>
      <c r="N429" s="59"/>
      <c r="O429" s="59"/>
      <c r="P429" s="62"/>
      <c r="Q429" s="62"/>
    </row>
    <row r="430">
      <c r="A430" s="59"/>
      <c r="B430" s="60"/>
      <c r="C430" s="60"/>
      <c r="D430" s="61"/>
      <c r="E430" s="59"/>
      <c r="F430" s="59"/>
      <c r="G430" s="59"/>
      <c r="H430" s="59"/>
      <c r="I430" s="59"/>
      <c r="J430" s="59"/>
      <c r="K430" s="59"/>
      <c r="L430" s="59"/>
      <c r="M430" s="59"/>
      <c r="N430" s="59"/>
      <c r="O430" s="59"/>
      <c r="P430" s="62"/>
      <c r="Q430" s="62"/>
    </row>
    <row r="431">
      <c r="A431" s="59"/>
      <c r="B431" s="60"/>
      <c r="C431" s="60"/>
      <c r="D431" s="61"/>
      <c r="E431" s="59"/>
      <c r="F431" s="59"/>
      <c r="G431" s="59"/>
      <c r="H431" s="59"/>
      <c r="I431" s="59"/>
      <c r="J431" s="59"/>
      <c r="K431" s="59"/>
      <c r="L431" s="59"/>
      <c r="M431" s="59"/>
      <c r="N431" s="59"/>
      <c r="O431" s="59"/>
      <c r="P431" s="62"/>
      <c r="Q431" s="62"/>
    </row>
    <row r="432">
      <c r="A432" s="59"/>
      <c r="B432" s="60"/>
      <c r="C432" s="60"/>
      <c r="D432" s="61"/>
      <c r="E432" s="59"/>
      <c r="F432" s="59"/>
      <c r="G432" s="59"/>
      <c r="H432" s="59"/>
      <c r="I432" s="59"/>
      <c r="J432" s="59"/>
      <c r="K432" s="59"/>
      <c r="L432" s="59"/>
      <c r="M432" s="59"/>
      <c r="N432" s="59"/>
      <c r="O432" s="59"/>
      <c r="P432" s="62"/>
      <c r="Q432" s="62"/>
    </row>
    <row r="433">
      <c r="A433" s="59"/>
      <c r="B433" s="60"/>
      <c r="C433" s="60"/>
      <c r="D433" s="61"/>
      <c r="E433" s="59"/>
      <c r="F433" s="59"/>
      <c r="G433" s="59"/>
      <c r="H433" s="59"/>
      <c r="I433" s="59"/>
      <c r="J433" s="59"/>
      <c r="K433" s="59"/>
      <c r="L433" s="59"/>
      <c r="M433" s="59"/>
      <c r="N433" s="59"/>
      <c r="O433" s="59"/>
      <c r="P433" s="62"/>
      <c r="Q433" s="62"/>
    </row>
    <row r="434">
      <c r="A434" s="59"/>
      <c r="B434" s="60"/>
      <c r="C434" s="60"/>
      <c r="D434" s="61"/>
      <c r="E434" s="59"/>
      <c r="F434" s="59"/>
      <c r="G434" s="59"/>
      <c r="H434" s="59"/>
      <c r="I434" s="59"/>
      <c r="J434" s="59"/>
      <c r="K434" s="59"/>
      <c r="L434" s="59"/>
      <c r="M434" s="59"/>
      <c r="N434" s="59"/>
      <c r="O434" s="59"/>
      <c r="P434" s="62"/>
      <c r="Q434" s="62"/>
    </row>
    <row r="435">
      <c r="A435" s="59"/>
      <c r="B435" s="60"/>
      <c r="C435" s="60"/>
      <c r="D435" s="61"/>
      <c r="E435" s="59"/>
      <c r="F435" s="59"/>
      <c r="G435" s="59"/>
      <c r="H435" s="59"/>
      <c r="I435" s="59"/>
      <c r="J435" s="59"/>
      <c r="K435" s="59"/>
      <c r="L435" s="59"/>
      <c r="M435" s="59"/>
      <c r="N435" s="59"/>
      <c r="O435" s="59"/>
      <c r="P435" s="62"/>
      <c r="Q435" s="62"/>
    </row>
    <row r="436">
      <c r="A436" s="59"/>
      <c r="B436" s="60"/>
      <c r="C436" s="60"/>
      <c r="D436" s="61"/>
      <c r="E436" s="59"/>
      <c r="F436" s="59"/>
      <c r="G436" s="59"/>
      <c r="H436" s="59"/>
      <c r="I436" s="59"/>
      <c r="J436" s="59"/>
      <c r="K436" s="59"/>
      <c r="L436" s="59"/>
      <c r="M436" s="59"/>
      <c r="N436" s="59"/>
      <c r="O436" s="59"/>
      <c r="P436" s="62"/>
      <c r="Q436" s="62"/>
    </row>
    <row r="437">
      <c r="A437" s="59"/>
      <c r="B437" s="60"/>
      <c r="C437" s="60"/>
      <c r="D437" s="61"/>
      <c r="E437" s="59"/>
      <c r="F437" s="59"/>
      <c r="G437" s="59"/>
      <c r="H437" s="59"/>
      <c r="I437" s="59"/>
      <c r="J437" s="59"/>
      <c r="K437" s="59"/>
      <c r="L437" s="59"/>
      <c r="M437" s="59"/>
      <c r="N437" s="59"/>
      <c r="O437" s="59"/>
      <c r="P437" s="62"/>
      <c r="Q437" s="62"/>
    </row>
    <row r="438">
      <c r="A438" s="59"/>
      <c r="B438" s="60"/>
      <c r="C438" s="60"/>
      <c r="D438" s="61"/>
      <c r="E438" s="59"/>
      <c r="F438" s="59"/>
      <c r="G438" s="59"/>
      <c r="H438" s="59"/>
      <c r="I438" s="59"/>
      <c r="J438" s="59"/>
      <c r="K438" s="59"/>
      <c r="L438" s="59"/>
      <c r="M438" s="59"/>
      <c r="N438" s="59"/>
      <c r="O438" s="59"/>
      <c r="P438" s="62"/>
      <c r="Q438" s="62"/>
    </row>
    <row r="439">
      <c r="A439" s="59"/>
      <c r="B439" s="60"/>
      <c r="C439" s="60"/>
      <c r="D439" s="61"/>
      <c r="E439" s="59"/>
      <c r="F439" s="59"/>
      <c r="G439" s="59"/>
      <c r="H439" s="59"/>
      <c r="I439" s="59"/>
      <c r="J439" s="59"/>
      <c r="K439" s="59"/>
      <c r="L439" s="59"/>
      <c r="M439" s="59"/>
      <c r="N439" s="59"/>
      <c r="O439" s="59"/>
      <c r="P439" s="62"/>
      <c r="Q439" s="62"/>
    </row>
    <row r="440">
      <c r="A440" s="59"/>
      <c r="B440" s="60"/>
      <c r="C440" s="60"/>
      <c r="D440" s="61"/>
      <c r="E440" s="59"/>
      <c r="F440" s="59"/>
      <c r="G440" s="59"/>
      <c r="H440" s="59"/>
      <c r="I440" s="59"/>
      <c r="J440" s="59"/>
      <c r="K440" s="59"/>
      <c r="L440" s="59"/>
      <c r="M440" s="59"/>
      <c r="N440" s="59"/>
      <c r="O440" s="59"/>
      <c r="P440" s="62"/>
      <c r="Q440" s="62"/>
    </row>
    <row r="441">
      <c r="A441" s="59"/>
      <c r="B441" s="60"/>
      <c r="C441" s="60"/>
      <c r="D441" s="61"/>
      <c r="E441" s="59"/>
      <c r="F441" s="59"/>
      <c r="G441" s="59"/>
      <c r="H441" s="59"/>
      <c r="I441" s="59"/>
      <c r="J441" s="59"/>
      <c r="K441" s="59"/>
      <c r="L441" s="59"/>
      <c r="M441" s="59"/>
      <c r="N441" s="59"/>
      <c r="O441" s="59"/>
      <c r="P441" s="62"/>
      <c r="Q441" s="62"/>
    </row>
    <row r="442">
      <c r="A442" s="59"/>
      <c r="B442" s="60"/>
      <c r="C442" s="60"/>
      <c r="D442" s="61"/>
      <c r="E442" s="59"/>
      <c r="F442" s="59"/>
      <c r="G442" s="59"/>
      <c r="H442" s="59"/>
      <c r="I442" s="59"/>
      <c r="J442" s="59"/>
      <c r="K442" s="59"/>
      <c r="L442" s="59"/>
      <c r="M442" s="59"/>
      <c r="N442" s="59"/>
      <c r="O442" s="59"/>
      <c r="P442" s="62"/>
      <c r="Q442" s="62"/>
    </row>
    <row r="443">
      <c r="A443" s="59"/>
      <c r="B443" s="60"/>
      <c r="C443" s="60"/>
      <c r="D443" s="61"/>
      <c r="E443" s="59"/>
      <c r="F443" s="59"/>
      <c r="G443" s="59"/>
      <c r="H443" s="59"/>
      <c r="I443" s="59"/>
      <c r="J443" s="59"/>
      <c r="K443" s="59"/>
      <c r="L443" s="59"/>
      <c r="M443" s="59"/>
      <c r="N443" s="59"/>
      <c r="O443" s="59"/>
      <c r="P443" s="62"/>
      <c r="Q443" s="62"/>
    </row>
    <row r="444">
      <c r="A444" s="59"/>
      <c r="B444" s="60"/>
      <c r="C444" s="60"/>
      <c r="D444" s="61"/>
      <c r="E444" s="59"/>
      <c r="F444" s="59"/>
      <c r="G444" s="59"/>
      <c r="H444" s="59"/>
      <c r="I444" s="59"/>
      <c r="J444" s="59"/>
      <c r="K444" s="59"/>
      <c r="L444" s="59"/>
      <c r="M444" s="59"/>
      <c r="N444" s="59"/>
      <c r="O444" s="59"/>
      <c r="P444" s="62"/>
      <c r="Q444" s="62"/>
    </row>
    <row r="445">
      <c r="A445" s="59"/>
      <c r="B445" s="60"/>
      <c r="C445" s="60"/>
      <c r="D445" s="61"/>
      <c r="E445" s="59"/>
      <c r="F445" s="59"/>
      <c r="G445" s="59"/>
      <c r="H445" s="59"/>
      <c r="I445" s="59"/>
      <c r="J445" s="59"/>
      <c r="K445" s="59"/>
      <c r="L445" s="59"/>
      <c r="M445" s="59"/>
      <c r="N445" s="59"/>
      <c r="O445" s="59"/>
      <c r="P445" s="62"/>
      <c r="Q445" s="62"/>
    </row>
    <row r="446">
      <c r="A446" s="59"/>
      <c r="B446" s="60"/>
      <c r="C446" s="60"/>
      <c r="D446" s="61"/>
      <c r="E446" s="59"/>
      <c r="F446" s="59"/>
      <c r="G446" s="59"/>
      <c r="H446" s="59"/>
      <c r="I446" s="59"/>
      <c r="J446" s="59"/>
      <c r="K446" s="59"/>
      <c r="L446" s="59"/>
      <c r="M446" s="59"/>
      <c r="N446" s="59"/>
      <c r="O446" s="59"/>
      <c r="P446" s="62"/>
      <c r="Q446" s="62"/>
    </row>
    <row r="447">
      <c r="A447" s="59"/>
      <c r="B447" s="60"/>
      <c r="C447" s="60"/>
      <c r="D447" s="61"/>
      <c r="E447" s="59"/>
      <c r="F447" s="59"/>
      <c r="G447" s="59"/>
      <c r="H447" s="59"/>
      <c r="I447" s="59"/>
      <c r="J447" s="59"/>
      <c r="K447" s="59"/>
      <c r="L447" s="59"/>
      <c r="M447" s="59"/>
      <c r="N447" s="59"/>
      <c r="O447" s="59"/>
      <c r="P447" s="62"/>
      <c r="Q447" s="62"/>
    </row>
    <row r="448">
      <c r="A448" s="59"/>
      <c r="B448" s="60"/>
      <c r="C448" s="60"/>
      <c r="D448" s="61"/>
      <c r="E448" s="59"/>
      <c r="F448" s="59"/>
      <c r="G448" s="59"/>
      <c r="H448" s="59"/>
      <c r="I448" s="59"/>
      <c r="J448" s="59"/>
      <c r="K448" s="59"/>
      <c r="L448" s="59"/>
      <c r="M448" s="59"/>
      <c r="N448" s="59"/>
      <c r="O448" s="59"/>
      <c r="P448" s="62"/>
      <c r="Q448" s="62"/>
    </row>
    <row r="449">
      <c r="A449" s="59"/>
      <c r="B449" s="60"/>
      <c r="C449" s="60"/>
      <c r="D449" s="61"/>
      <c r="E449" s="59"/>
      <c r="F449" s="59"/>
      <c r="G449" s="59"/>
      <c r="H449" s="59"/>
      <c r="I449" s="59"/>
      <c r="J449" s="59"/>
      <c r="K449" s="59"/>
      <c r="L449" s="59"/>
      <c r="M449" s="59"/>
      <c r="N449" s="59"/>
      <c r="O449" s="59"/>
      <c r="P449" s="62"/>
      <c r="Q449" s="62"/>
    </row>
    <row r="450">
      <c r="A450" s="59"/>
      <c r="B450" s="60"/>
      <c r="C450" s="60"/>
      <c r="D450" s="61"/>
      <c r="E450" s="59"/>
      <c r="F450" s="59"/>
      <c r="G450" s="59"/>
      <c r="H450" s="59"/>
      <c r="I450" s="59"/>
      <c r="J450" s="59"/>
      <c r="K450" s="59"/>
      <c r="L450" s="59"/>
      <c r="M450" s="59"/>
      <c r="N450" s="59"/>
      <c r="O450" s="59"/>
      <c r="P450" s="62"/>
      <c r="Q450" s="62"/>
    </row>
    <row r="451">
      <c r="A451" s="59"/>
      <c r="B451" s="60"/>
      <c r="C451" s="60"/>
      <c r="D451" s="61"/>
      <c r="E451" s="59"/>
      <c r="F451" s="59"/>
      <c r="G451" s="59"/>
      <c r="H451" s="59"/>
      <c r="I451" s="59"/>
      <c r="J451" s="59"/>
      <c r="K451" s="59"/>
      <c r="L451" s="59"/>
      <c r="M451" s="59"/>
      <c r="N451" s="59"/>
      <c r="O451" s="59"/>
      <c r="P451" s="62"/>
      <c r="Q451" s="62"/>
    </row>
    <row r="452">
      <c r="A452" s="59"/>
      <c r="B452" s="60"/>
      <c r="C452" s="60"/>
      <c r="D452" s="61"/>
      <c r="E452" s="59"/>
      <c r="F452" s="59"/>
      <c r="G452" s="59"/>
      <c r="H452" s="59"/>
      <c r="I452" s="59"/>
      <c r="J452" s="59"/>
      <c r="K452" s="59"/>
      <c r="L452" s="59"/>
      <c r="M452" s="59"/>
      <c r="N452" s="59"/>
      <c r="O452" s="59"/>
      <c r="P452" s="62"/>
      <c r="Q452" s="62"/>
    </row>
    <row r="453">
      <c r="A453" s="59"/>
      <c r="B453" s="60"/>
      <c r="C453" s="60"/>
      <c r="D453" s="61"/>
      <c r="E453" s="59"/>
      <c r="F453" s="59"/>
      <c r="G453" s="59"/>
      <c r="H453" s="59"/>
      <c r="I453" s="59"/>
      <c r="J453" s="59"/>
      <c r="K453" s="59"/>
      <c r="L453" s="59"/>
      <c r="M453" s="59"/>
      <c r="N453" s="59"/>
      <c r="O453" s="59"/>
      <c r="P453" s="62"/>
      <c r="Q453" s="62"/>
    </row>
    <row r="454">
      <c r="A454" s="59"/>
      <c r="B454" s="60"/>
      <c r="C454" s="60"/>
      <c r="D454" s="61"/>
      <c r="E454" s="59"/>
      <c r="F454" s="59"/>
      <c r="G454" s="59"/>
      <c r="H454" s="59"/>
      <c r="I454" s="59"/>
      <c r="J454" s="59"/>
      <c r="K454" s="59"/>
      <c r="L454" s="59"/>
      <c r="M454" s="59"/>
      <c r="N454" s="59"/>
      <c r="O454" s="59"/>
      <c r="P454" s="62"/>
      <c r="Q454" s="62"/>
    </row>
    <row r="455">
      <c r="A455" s="59"/>
      <c r="B455" s="60"/>
      <c r="C455" s="60"/>
      <c r="D455" s="61"/>
      <c r="E455" s="59"/>
      <c r="F455" s="59"/>
      <c r="G455" s="59"/>
      <c r="H455" s="59"/>
      <c r="I455" s="59"/>
      <c r="J455" s="59"/>
      <c r="K455" s="59"/>
      <c r="L455" s="59"/>
      <c r="M455" s="59"/>
      <c r="N455" s="59"/>
      <c r="O455" s="59"/>
      <c r="P455" s="62"/>
      <c r="Q455" s="62"/>
    </row>
    <row r="456">
      <c r="A456" s="59"/>
      <c r="B456" s="60"/>
      <c r="C456" s="60"/>
      <c r="D456" s="61"/>
      <c r="E456" s="59"/>
      <c r="F456" s="59"/>
      <c r="G456" s="59"/>
      <c r="H456" s="59"/>
      <c r="I456" s="59"/>
      <c r="J456" s="59"/>
      <c r="K456" s="59"/>
      <c r="L456" s="59"/>
      <c r="M456" s="59"/>
      <c r="N456" s="59"/>
      <c r="O456" s="59"/>
      <c r="P456" s="62"/>
      <c r="Q456" s="62"/>
    </row>
    <row r="457">
      <c r="A457" s="59"/>
      <c r="B457" s="60"/>
      <c r="C457" s="60"/>
      <c r="D457" s="61"/>
      <c r="E457" s="59"/>
      <c r="F457" s="59"/>
      <c r="G457" s="59"/>
      <c r="H457" s="59"/>
      <c r="I457" s="59"/>
      <c r="J457" s="59"/>
      <c r="K457" s="59"/>
      <c r="L457" s="59"/>
      <c r="M457" s="59"/>
      <c r="N457" s="59"/>
      <c r="O457" s="59"/>
      <c r="P457" s="62"/>
      <c r="Q457" s="62"/>
    </row>
    <row r="458">
      <c r="A458" s="59"/>
      <c r="B458" s="60"/>
      <c r="C458" s="60"/>
      <c r="D458" s="61"/>
      <c r="E458" s="59"/>
      <c r="F458" s="59"/>
      <c r="G458" s="59"/>
      <c r="H458" s="59"/>
      <c r="I458" s="59"/>
      <c r="J458" s="59"/>
      <c r="K458" s="59"/>
      <c r="L458" s="59"/>
      <c r="M458" s="59"/>
      <c r="N458" s="59"/>
      <c r="O458" s="59"/>
      <c r="P458" s="62"/>
      <c r="Q458" s="62"/>
    </row>
  </sheetData>
  <autoFilter ref="$F$1:$F$458"/>
  <mergeCells count="435">
    <mergeCell ref="A27:A28"/>
    <mergeCell ref="B27:B28"/>
    <mergeCell ref="C27:C28"/>
    <mergeCell ref="D27:D28"/>
    <mergeCell ref="E27:E28"/>
    <mergeCell ref="F27:F28"/>
    <mergeCell ref="G27:G28"/>
    <mergeCell ref="A29:A30"/>
    <mergeCell ref="B29:B30"/>
    <mergeCell ref="C29:C30"/>
    <mergeCell ref="D29:D30"/>
    <mergeCell ref="E29:E30"/>
    <mergeCell ref="F29:F30"/>
    <mergeCell ref="G29:G30"/>
    <mergeCell ref="A11:A12"/>
    <mergeCell ref="B11:B12"/>
    <mergeCell ref="C11:C12"/>
    <mergeCell ref="D11:D12"/>
    <mergeCell ref="E11:E12"/>
    <mergeCell ref="F11:F12"/>
    <mergeCell ref="G11:G12"/>
    <mergeCell ref="A13:A14"/>
    <mergeCell ref="B13:B14"/>
    <mergeCell ref="C13:C14"/>
    <mergeCell ref="D13:D14"/>
    <mergeCell ref="E13:E14"/>
    <mergeCell ref="F13:F14"/>
    <mergeCell ref="G13:G14"/>
    <mergeCell ref="A15:A16"/>
    <mergeCell ref="B15:B16"/>
    <mergeCell ref="C15:C16"/>
    <mergeCell ref="D15:D16"/>
    <mergeCell ref="E15:E16"/>
    <mergeCell ref="F15:F16"/>
    <mergeCell ref="G15:G16"/>
    <mergeCell ref="A17:A18"/>
    <mergeCell ref="B17:B18"/>
    <mergeCell ref="C17:C18"/>
    <mergeCell ref="D17:D18"/>
    <mergeCell ref="E17:E18"/>
    <mergeCell ref="F17:F18"/>
    <mergeCell ref="G17:G18"/>
    <mergeCell ref="A19:A20"/>
    <mergeCell ref="B19:B20"/>
    <mergeCell ref="C19:C20"/>
    <mergeCell ref="D19:D20"/>
    <mergeCell ref="E19:E20"/>
    <mergeCell ref="F19:F20"/>
    <mergeCell ref="G19:G20"/>
    <mergeCell ref="A21:A22"/>
    <mergeCell ref="B21:B22"/>
    <mergeCell ref="C21:C22"/>
    <mergeCell ref="D21:D22"/>
    <mergeCell ref="E21:E22"/>
    <mergeCell ref="F21:F22"/>
    <mergeCell ref="G21:G22"/>
    <mergeCell ref="A31:A32"/>
    <mergeCell ref="B31:B32"/>
    <mergeCell ref="C31:C32"/>
    <mergeCell ref="D31:D32"/>
    <mergeCell ref="E31:E32"/>
    <mergeCell ref="F31:F32"/>
    <mergeCell ref="G31:G32"/>
    <mergeCell ref="H37:H38"/>
    <mergeCell ref="I37:I38"/>
    <mergeCell ref="J37:J38"/>
    <mergeCell ref="K37:K38"/>
    <mergeCell ref="H39:H40"/>
    <mergeCell ref="I39:I40"/>
    <mergeCell ref="J39:J40"/>
    <mergeCell ref="K39:K40"/>
    <mergeCell ref="H41:H42"/>
    <mergeCell ref="I41:I42"/>
    <mergeCell ref="J41:J42"/>
    <mergeCell ref="K41:K42"/>
    <mergeCell ref="H43:H44"/>
    <mergeCell ref="I43:I44"/>
    <mergeCell ref="J43:J44"/>
    <mergeCell ref="K43:K44"/>
    <mergeCell ref="H45:H46"/>
    <mergeCell ref="I45:I46"/>
    <mergeCell ref="J45:J46"/>
    <mergeCell ref="K45:K46"/>
    <mergeCell ref="H47:H48"/>
    <mergeCell ref="I47:I48"/>
    <mergeCell ref="J47:J48"/>
    <mergeCell ref="K47:K48"/>
    <mergeCell ref="H49:H50"/>
    <mergeCell ref="I49:I50"/>
    <mergeCell ref="J49:J50"/>
    <mergeCell ref="K49:K50"/>
    <mergeCell ref="H51:H52"/>
    <mergeCell ref="I51:I52"/>
    <mergeCell ref="J51:J52"/>
    <mergeCell ref="K51:K52"/>
    <mergeCell ref="H53:H54"/>
    <mergeCell ref="I53:I54"/>
    <mergeCell ref="J53:J54"/>
    <mergeCell ref="K53:K54"/>
    <mergeCell ref="H55:H56"/>
    <mergeCell ref="I55:I56"/>
    <mergeCell ref="J55:J56"/>
    <mergeCell ref="K55:K56"/>
    <mergeCell ref="H57:H58"/>
    <mergeCell ref="I57:I58"/>
    <mergeCell ref="H65:H66"/>
    <mergeCell ref="I65:I66"/>
    <mergeCell ref="J65:J66"/>
    <mergeCell ref="K65:K66"/>
    <mergeCell ref="H67:H68"/>
    <mergeCell ref="I67:I68"/>
    <mergeCell ref="J67:J68"/>
    <mergeCell ref="K67:K68"/>
    <mergeCell ref="H69:H70"/>
    <mergeCell ref="I69:I70"/>
    <mergeCell ref="J69:J70"/>
    <mergeCell ref="K69:K70"/>
    <mergeCell ref="H5:H6"/>
    <mergeCell ref="I5:I6"/>
    <mergeCell ref="J5:J6"/>
    <mergeCell ref="K5:K6"/>
    <mergeCell ref="L5:L70"/>
    <mergeCell ref="H7:H8"/>
    <mergeCell ref="I7:I8"/>
    <mergeCell ref="J57:J58"/>
    <mergeCell ref="K57:K58"/>
    <mergeCell ref="H59:H60"/>
    <mergeCell ref="I59:I60"/>
    <mergeCell ref="J59:J60"/>
    <mergeCell ref="K59:K60"/>
    <mergeCell ref="H61:H62"/>
    <mergeCell ref="I61:I62"/>
    <mergeCell ref="J61:J62"/>
    <mergeCell ref="K61:K62"/>
    <mergeCell ref="H63:H64"/>
    <mergeCell ref="I63:I64"/>
    <mergeCell ref="J63:J64"/>
    <mergeCell ref="K63:K64"/>
    <mergeCell ref="A45:A46"/>
    <mergeCell ref="B45:B46"/>
    <mergeCell ref="C45:C46"/>
    <mergeCell ref="D45:D46"/>
    <mergeCell ref="E45:E46"/>
    <mergeCell ref="F45:F46"/>
    <mergeCell ref="G45:G46"/>
    <mergeCell ref="A47:A48"/>
    <mergeCell ref="B47:B48"/>
    <mergeCell ref="C47:C48"/>
    <mergeCell ref="D47:D48"/>
    <mergeCell ref="E47:E48"/>
    <mergeCell ref="F47:F48"/>
    <mergeCell ref="G47:G48"/>
    <mergeCell ref="A49:A50"/>
    <mergeCell ref="B49:B50"/>
    <mergeCell ref="C49:C50"/>
    <mergeCell ref="D49:D50"/>
    <mergeCell ref="E49:E50"/>
    <mergeCell ref="F49:F50"/>
    <mergeCell ref="G49:G50"/>
    <mergeCell ref="A51:A52"/>
    <mergeCell ref="B51:B52"/>
    <mergeCell ref="C51:C52"/>
    <mergeCell ref="D51:D52"/>
    <mergeCell ref="E51:E52"/>
    <mergeCell ref="F51:F52"/>
    <mergeCell ref="G51:G52"/>
    <mergeCell ref="A53:A54"/>
    <mergeCell ref="B53:B54"/>
    <mergeCell ref="C53:C54"/>
    <mergeCell ref="D53:D54"/>
    <mergeCell ref="E53:E54"/>
    <mergeCell ref="F53:F54"/>
    <mergeCell ref="G53:G54"/>
    <mergeCell ref="A55:A56"/>
    <mergeCell ref="B55:B56"/>
    <mergeCell ref="C55:C56"/>
    <mergeCell ref="D55:D56"/>
    <mergeCell ref="E55:E56"/>
    <mergeCell ref="F55:F56"/>
    <mergeCell ref="G55:G56"/>
    <mergeCell ref="A57:A58"/>
    <mergeCell ref="B57:B58"/>
    <mergeCell ref="C57:C58"/>
    <mergeCell ref="D57:D58"/>
    <mergeCell ref="E57:E58"/>
    <mergeCell ref="F57:F58"/>
    <mergeCell ref="G57:G58"/>
    <mergeCell ref="A59:A60"/>
    <mergeCell ref="B59:B60"/>
    <mergeCell ref="C59:C60"/>
    <mergeCell ref="D59:D60"/>
    <mergeCell ref="E59:E60"/>
    <mergeCell ref="F59:F60"/>
    <mergeCell ref="G59:G60"/>
    <mergeCell ref="A61:A62"/>
    <mergeCell ref="B61:B62"/>
    <mergeCell ref="C61:C62"/>
    <mergeCell ref="D61:D62"/>
    <mergeCell ref="E61:E62"/>
    <mergeCell ref="F61:F62"/>
    <mergeCell ref="G61:G62"/>
    <mergeCell ref="A63:A64"/>
    <mergeCell ref="B63:B64"/>
    <mergeCell ref="C63:C64"/>
    <mergeCell ref="D63:D64"/>
    <mergeCell ref="E63:E64"/>
    <mergeCell ref="F63:F64"/>
    <mergeCell ref="G63:G64"/>
    <mergeCell ref="A65:A66"/>
    <mergeCell ref="B65:B66"/>
    <mergeCell ref="C65:C66"/>
    <mergeCell ref="D65:D66"/>
    <mergeCell ref="E65:E66"/>
    <mergeCell ref="F65:F66"/>
    <mergeCell ref="G65:G66"/>
    <mergeCell ref="A67:A68"/>
    <mergeCell ref="B67:B68"/>
    <mergeCell ref="C67:C68"/>
    <mergeCell ref="D67:D68"/>
    <mergeCell ref="E67:E68"/>
    <mergeCell ref="F67:F68"/>
    <mergeCell ref="G67:G68"/>
    <mergeCell ref="A23:A24"/>
    <mergeCell ref="B23:B24"/>
    <mergeCell ref="C23:C24"/>
    <mergeCell ref="D23:D24"/>
    <mergeCell ref="E23:E24"/>
    <mergeCell ref="F23:F24"/>
    <mergeCell ref="G23:G24"/>
    <mergeCell ref="A25:A26"/>
    <mergeCell ref="B25:B26"/>
    <mergeCell ref="C25:C26"/>
    <mergeCell ref="D25:D26"/>
    <mergeCell ref="E25:E26"/>
    <mergeCell ref="F25:F26"/>
    <mergeCell ref="G25:G26"/>
    <mergeCell ref="A33:A34"/>
    <mergeCell ref="B33:B34"/>
    <mergeCell ref="C33:C34"/>
    <mergeCell ref="D33:D34"/>
    <mergeCell ref="E33:E34"/>
    <mergeCell ref="F33:F34"/>
    <mergeCell ref="G33:G34"/>
    <mergeCell ref="A35:A36"/>
    <mergeCell ref="B35:B36"/>
    <mergeCell ref="C35:C36"/>
    <mergeCell ref="D35:D36"/>
    <mergeCell ref="E35:E36"/>
    <mergeCell ref="F35:F36"/>
    <mergeCell ref="G35:G36"/>
    <mergeCell ref="A37:A38"/>
    <mergeCell ref="B37:B38"/>
    <mergeCell ref="C37:C38"/>
    <mergeCell ref="D37:D38"/>
    <mergeCell ref="E37:E38"/>
    <mergeCell ref="F37:F38"/>
    <mergeCell ref="G37:G38"/>
    <mergeCell ref="A39:A40"/>
    <mergeCell ref="B39:B40"/>
    <mergeCell ref="C39:C40"/>
    <mergeCell ref="D39:D40"/>
    <mergeCell ref="E39:E40"/>
    <mergeCell ref="F39:F40"/>
    <mergeCell ref="G39:G40"/>
    <mergeCell ref="A69:A70"/>
    <mergeCell ref="B69:B70"/>
    <mergeCell ref="C69:C70"/>
    <mergeCell ref="D69:D70"/>
    <mergeCell ref="E69:E70"/>
    <mergeCell ref="F69:F70"/>
    <mergeCell ref="G69:G70"/>
    <mergeCell ref="H3:H4"/>
    <mergeCell ref="I3:I4"/>
    <mergeCell ref="J3:J4"/>
    <mergeCell ref="K3:K4"/>
    <mergeCell ref="L3:N3"/>
    <mergeCell ref="O3:O4"/>
    <mergeCell ref="P3:P4"/>
    <mergeCell ref="Q3:Q4"/>
    <mergeCell ref="A3:A4"/>
    <mergeCell ref="B3:B4"/>
    <mergeCell ref="C3:C4"/>
    <mergeCell ref="D3:D4"/>
    <mergeCell ref="E3:E4"/>
    <mergeCell ref="F3:F4"/>
    <mergeCell ref="G3:G4"/>
    <mergeCell ref="A5:A6"/>
    <mergeCell ref="B5:B6"/>
    <mergeCell ref="C5:C6"/>
    <mergeCell ref="D5:D6"/>
    <mergeCell ref="E5:E6"/>
    <mergeCell ref="F5:F6"/>
    <mergeCell ref="G5:G6"/>
    <mergeCell ref="J7:J8"/>
    <mergeCell ref="K7:K8"/>
    <mergeCell ref="A7:A8"/>
    <mergeCell ref="B7:B8"/>
    <mergeCell ref="C7:C8"/>
    <mergeCell ref="D7:D8"/>
    <mergeCell ref="E7:E8"/>
    <mergeCell ref="F7:F8"/>
    <mergeCell ref="G7:G8"/>
    <mergeCell ref="A9:A10"/>
    <mergeCell ref="B9:B10"/>
    <mergeCell ref="C9:C10"/>
    <mergeCell ref="D9:D10"/>
    <mergeCell ref="E9:E10"/>
    <mergeCell ref="F9:F10"/>
    <mergeCell ref="G9:G10"/>
    <mergeCell ref="O13:O14"/>
    <mergeCell ref="P13:P14"/>
    <mergeCell ref="H9:H10"/>
    <mergeCell ref="I9:I10"/>
    <mergeCell ref="J9:J10"/>
    <mergeCell ref="K9:K10"/>
    <mergeCell ref="H11:H12"/>
    <mergeCell ref="I11:I12"/>
    <mergeCell ref="J11:J12"/>
    <mergeCell ref="K11:K12"/>
    <mergeCell ref="H13:H14"/>
    <mergeCell ref="I13:I14"/>
    <mergeCell ref="J13:J14"/>
    <mergeCell ref="K13:K14"/>
    <mergeCell ref="H15:H16"/>
    <mergeCell ref="I15:I16"/>
    <mergeCell ref="J15:J16"/>
    <mergeCell ref="K15:K16"/>
    <mergeCell ref="H17:H18"/>
    <mergeCell ref="I17:I18"/>
    <mergeCell ref="J17:J18"/>
    <mergeCell ref="K17:K18"/>
    <mergeCell ref="H19:H20"/>
    <mergeCell ref="I19:I20"/>
    <mergeCell ref="J19:J20"/>
    <mergeCell ref="K19:K20"/>
    <mergeCell ref="H21:H22"/>
    <mergeCell ref="I21:I22"/>
    <mergeCell ref="J21:J22"/>
    <mergeCell ref="K21:K22"/>
    <mergeCell ref="H23:H24"/>
    <mergeCell ref="I23:I24"/>
    <mergeCell ref="J23:J24"/>
    <mergeCell ref="K23:K24"/>
    <mergeCell ref="H25:H26"/>
    <mergeCell ref="I25:I26"/>
    <mergeCell ref="J25:J26"/>
    <mergeCell ref="K25:K26"/>
    <mergeCell ref="H27:H28"/>
    <mergeCell ref="I27:I28"/>
    <mergeCell ref="J27:J28"/>
    <mergeCell ref="K27:K28"/>
    <mergeCell ref="H29:H30"/>
    <mergeCell ref="I29:I30"/>
    <mergeCell ref="J29:J30"/>
    <mergeCell ref="K29:K30"/>
    <mergeCell ref="H31:H32"/>
    <mergeCell ref="I31:I32"/>
    <mergeCell ref="J31:J32"/>
    <mergeCell ref="K31:K32"/>
    <mergeCell ref="H33:H34"/>
    <mergeCell ref="I33:I34"/>
    <mergeCell ref="J33:J34"/>
    <mergeCell ref="K33:K34"/>
    <mergeCell ref="H35:H36"/>
    <mergeCell ref="I35:I36"/>
    <mergeCell ref="J35:J36"/>
    <mergeCell ref="K35:K36"/>
    <mergeCell ref="A41:A42"/>
    <mergeCell ref="B41:B42"/>
    <mergeCell ref="C41:C42"/>
    <mergeCell ref="D41:D42"/>
    <mergeCell ref="E41:E42"/>
    <mergeCell ref="F41:F42"/>
    <mergeCell ref="G41:G42"/>
    <mergeCell ref="A43:A44"/>
    <mergeCell ref="B43:B44"/>
    <mergeCell ref="C43:C44"/>
    <mergeCell ref="D43:D44"/>
    <mergeCell ref="E43:E44"/>
    <mergeCell ref="F43:F44"/>
    <mergeCell ref="G43:G44"/>
    <mergeCell ref="P67:P68"/>
    <mergeCell ref="P69:P70"/>
    <mergeCell ref="P53:P54"/>
    <mergeCell ref="P55:P56"/>
    <mergeCell ref="P57:P58"/>
    <mergeCell ref="P59:P60"/>
    <mergeCell ref="P61:P62"/>
    <mergeCell ref="P63:P64"/>
    <mergeCell ref="P65:P66"/>
    <mergeCell ref="O5:O6"/>
    <mergeCell ref="P5:P6"/>
    <mergeCell ref="Q5:Q6"/>
    <mergeCell ref="O7:O8"/>
    <mergeCell ref="P7:P8"/>
    <mergeCell ref="P9:P10"/>
    <mergeCell ref="O11:O12"/>
    <mergeCell ref="P11:P12"/>
    <mergeCell ref="Q11:Q12"/>
    <mergeCell ref="P15:P16"/>
    <mergeCell ref="P17:P18"/>
    <mergeCell ref="P19:P20"/>
    <mergeCell ref="O21:O22"/>
    <mergeCell ref="P21:P22"/>
    <mergeCell ref="O23:O24"/>
    <mergeCell ref="P23:P24"/>
    <mergeCell ref="O25:O26"/>
    <mergeCell ref="P25:P26"/>
    <mergeCell ref="O27:O28"/>
    <mergeCell ref="P27:P28"/>
    <mergeCell ref="P29:P30"/>
    <mergeCell ref="O31:O32"/>
    <mergeCell ref="P31:P32"/>
    <mergeCell ref="P33:P34"/>
    <mergeCell ref="P35:P36"/>
    <mergeCell ref="P37:P38"/>
    <mergeCell ref="P39:P40"/>
    <mergeCell ref="P41:P42"/>
    <mergeCell ref="O43:O44"/>
    <mergeCell ref="P43:P44"/>
    <mergeCell ref="P45:P46"/>
    <mergeCell ref="O47:O48"/>
    <mergeCell ref="P47:P48"/>
    <mergeCell ref="P49:P50"/>
    <mergeCell ref="P51:P52"/>
    <mergeCell ref="O65:O66"/>
    <mergeCell ref="O67:O68"/>
    <mergeCell ref="O69:O70"/>
    <mergeCell ref="O49:O50"/>
    <mergeCell ref="O53:O54"/>
    <mergeCell ref="O55:O56"/>
    <mergeCell ref="O57:O58"/>
    <mergeCell ref="O59:O60"/>
    <mergeCell ref="O61:O62"/>
    <mergeCell ref="O63:O64"/>
  </mergeCells>
  <dataValidations>
    <dataValidation type="list" allowBlank="1" showErrorMessage="1" sqref="F41 F43 F45 F47 F49 F51 F53 F55 F57 F59 F61 F63 F65 F67 F69">
      <formula1>"Actor,Actress,Animal Hobbies,Animator,Art,Author,Beauty,Business,Buzzer,Chef,Comedy,Community,Couple,Culinary,Dads,Dance,Design,DJ Set,Drama,Dubber,Education,Entertainment,Entrepreneur,Family,Fanbase,Fashion,Film,Financial,Foodies,Gaming,Health,Hijab,Home"&amp;" Cook,Illustrator,Informative,Kids,Lifestyle,Marvel Fans,Media,Menfess,Mom,Movie,Movie Maker,Movie Reviewer,Music,Musician,News,Otomotif,Otomotive,Parenting,Parents,Photography,Public Figure,Self Growth,Singer,Sneakers,Sport,Storyteller,Technology,Travel,"&amp;"Visual Art,Vlog,Young Couple,Young Professional,Kpop,Gamers &amp; Lifestyle,Fashion &amp; Lifestyle,Sport &amp; Lifestyle,Beauty &amp; Lifestyle,DIY,Home Living,Expert,athlete,Working Mom,Cosplayer,Make Up Artist,Pet Content Creator,Bapak-bapak"</formula1>
    </dataValidation>
    <dataValidation type="list" allowBlank="1" showErrorMessage="1" sqref="E5 E7 E9 E11 E13 E15 E17 E19 E21 E23 E25 E27 E29 E31 E33 E35 E37 E39 E41 E43 E45 E47 E49 E51 E53 E55 E57 E59 E61 E63 E65 E67 E69">
      <formula1>"Instagram,TikTok,Youtube,X ( Twitter),Facebook"</formula1>
    </dataValidation>
    <dataValidation type="list" allowBlank="1" showErrorMessage="1" sqref="F5 F7 F9 F11 F13 F15 F17 F19 F21 F23 F25 F27 F29 F31 F33 F35 F37 F39">
      <formula1>"Actor,Actress,Animal Hobbies,Animator,Art,Author,Beauty,Business,Buzzer,Chef,Comedy,Community,Couple,Culinary,Dads,Dance,Design,DJ Set,Drama,Dubber,Education,Entertainment,Entrepreneur,Family,Fanbase,Fashion,Film,Financial,Foodies,Gaming,Health,Hijab,Home"&amp;" Cook,Illustrator,Informative,Kids,Lifestyle,Marvel Fans,Media,Menfess,Mom,Movie,Movie Maker,Movie Reviewer,Music,Musician,News,Otomotif,Otomotive,Parenting,Parents,Photography,Public Figure,Self Growth,Singer,Sneakers,Sport,Storyteller,Technology,Travel,"&amp;"Visual Art,Vlog,Young Couple,Young Professional,Kpop,Gamers &amp; Lifestyle,Fashion &amp; Lifestyle,Sport &amp; Lifestyle,Beauty &amp; Lifestyle,DIY,Home Living,Expert,athlete,Working Mom,Cosplayer,Make Up Artist"</formula1>
    </dataValidation>
    <dataValidation type="list" allowBlank="1" showErrorMessage="1" sqref="B5 B7 B9 B11 B13 B15 B17 B19 B21 B23 B25 B27 B29 B31 B33 B35 B37 B39 B41 B43 B45 B47 B49 B51 B53 B55 B57 B59 B61 B63 B65 B67 B69">
      <formula1>"Approved by Client,Unavailable,New List,HOLD,Rejected,AVAILABLE,Approaching,Req Client,Need Confirmation,Need Rate Nego,Referensi,Replied"</formula1>
    </dataValidation>
  </dataValidations>
  <hyperlinks>
    <hyperlink r:id="rId1" ref="D5"/>
    <hyperlink r:id="rId2" ref="D7"/>
    <hyperlink r:id="rId3" ref="D9"/>
    <hyperlink r:id="rId4" ref="D11"/>
    <hyperlink r:id="rId5" ref="D13"/>
    <hyperlink r:id="rId6" ref="D15"/>
    <hyperlink r:id="rId7" ref="D17"/>
    <hyperlink r:id="rId8" ref="D19"/>
    <hyperlink r:id="rId9" ref="D21"/>
    <hyperlink r:id="rId10" ref="D23"/>
    <hyperlink r:id="rId11" ref="D25"/>
    <hyperlink r:id="rId12" ref="D27"/>
    <hyperlink r:id="rId13" ref="D29"/>
    <hyperlink r:id="rId14" ref="D31"/>
    <hyperlink r:id="rId15" ref="D33"/>
    <hyperlink r:id="rId16" ref="D35"/>
    <hyperlink r:id="rId17" ref="D37"/>
    <hyperlink r:id="rId18" ref="D39"/>
    <hyperlink r:id="rId19" ref="D41"/>
    <hyperlink r:id="rId20" ref="D43"/>
    <hyperlink r:id="rId21" ref="D45"/>
    <hyperlink r:id="rId22" ref="D47"/>
    <hyperlink r:id="rId23" ref="D49"/>
    <hyperlink r:id="rId24" ref="D51"/>
    <hyperlink r:id="rId25" ref="D53"/>
    <hyperlink r:id="rId26" ref="D55"/>
    <hyperlink r:id="rId27" ref="D57"/>
    <hyperlink r:id="rId28" ref="D59"/>
    <hyperlink r:id="rId29" ref="D61"/>
    <hyperlink r:id="rId30" ref="D63"/>
    <hyperlink r:id="rId31" ref="D65"/>
    <hyperlink r:id="rId32" ref="D67"/>
    <hyperlink r:id="rId33" ref="D69"/>
  </hyperlinks>
  <drawing r:id="rId3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1" max="1" width="4.5"/>
    <col customWidth="1" min="2" max="2" width="14.38"/>
    <col customWidth="1" min="3" max="3" width="17.13"/>
    <col customWidth="1" min="4" max="4" width="18.63"/>
    <col customWidth="1" min="5" max="5" width="10.63"/>
    <col customWidth="1" min="6" max="6" width="20.75"/>
    <col customWidth="1" min="7" max="7" width="8.75"/>
    <col customWidth="1" min="8" max="8" width="8.25"/>
    <col customWidth="1" min="9" max="9" width="7.75"/>
    <col customWidth="1" min="10" max="10" width="9.25"/>
    <col customWidth="1" min="11" max="11" width="11.0"/>
    <col customWidth="1" min="12" max="12" width="22.75"/>
    <col customWidth="1" min="13" max="13" width="3.75"/>
    <col customWidth="1" min="14" max="14" width="16.38"/>
    <col customWidth="1" min="15" max="15" width="15.25"/>
    <col customWidth="1" min="16" max="16" width="16.5"/>
    <col customWidth="1" min="17" max="17" width="33.38"/>
  </cols>
  <sheetData>
    <row r="1">
      <c r="A1" s="1"/>
      <c r="B1" s="2"/>
      <c r="C1" s="2"/>
      <c r="D1" s="3"/>
      <c r="E1" s="1"/>
      <c r="F1" s="1"/>
      <c r="G1" s="1"/>
      <c r="H1" s="1"/>
      <c r="I1" s="1" t="s">
        <v>0</v>
      </c>
      <c r="J1" s="1"/>
      <c r="K1" s="1"/>
      <c r="L1" s="1"/>
      <c r="M1" s="1"/>
      <c r="N1" s="1"/>
      <c r="O1" s="1"/>
      <c r="P1" s="4"/>
      <c r="Q1" s="4"/>
    </row>
    <row r="2">
      <c r="A2" s="1"/>
      <c r="B2" s="2"/>
      <c r="C2" s="2"/>
      <c r="D2" s="3"/>
      <c r="E2" s="1"/>
      <c r="F2" s="1"/>
      <c r="G2" s="1"/>
      <c r="H2" s="1"/>
      <c r="I2" s="1"/>
      <c r="J2" s="1"/>
      <c r="K2" s="1"/>
      <c r="L2" s="1"/>
      <c r="M2" s="1"/>
      <c r="N2" s="1"/>
      <c r="O2" s="1"/>
      <c r="P2" s="4"/>
      <c r="Q2" s="4"/>
    </row>
    <row r="3">
      <c r="A3" s="5" t="s">
        <v>1</v>
      </c>
      <c r="B3" s="6" t="s">
        <v>2</v>
      </c>
      <c r="C3" s="5" t="s">
        <v>3</v>
      </c>
      <c r="D3" s="7" t="s">
        <v>4</v>
      </c>
      <c r="E3" s="5" t="s">
        <v>5</v>
      </c>
      <c r="F3" s="8" t="s">
        <v>6</v>
      </c>
      <c r="G3" s="9" t="s">
        <v>7</v>
      </c>
      <c r="H3" s="5" t="s">
        <v>8</v>
      </c>
      <c r="I3" s="10" t="s">
        <v>9</v>
      </c>
      <c r="J3" s="7" t="s">
        <v>10</v>
      </c>
      <c r="K3" s="5" t="s">
        <v>11</v>
      </c>
      <c r="L3" s="11" t="s">
        <v>12</v>
      </c>
      <c r="M3" s="12"/>
      <c r="N3" s="13"/>
      <c r="O3" s="8" t="s">
        <v>13</v>
      </c>
      <c r="P3" s="14" t="s">
        <v>14</v>
      </c>
      <c r="Q3" s="7" t="s">
        <v>15</v>
      </c>
    </row>
    <row r="4">
      <c r="A4" s="15"/>
      <c r="B4" s="15"/>
      <c r="C4" s="15"/>
      <c r="D4" s="15"/>
      <c r="E4" s="15"/>
      <c r="F4" s="15"/>
      <c r="G4" s="15"/>
      <c r="H4" s="15"/>
      <c r="I4" s="15"/>
      <c r="J4" s="15"/>
      <c r="K4" s="15"/>
      <c r="L4" s="16" t="s">
        <v>16</v>
      </c>
      <c r="M4" s="17" t="s">
        <v>17</v>
      </c>
      <c r="N4" s="18" t="s">
        <v>18</v>
      </c>
      <c r="O4" s="15"/>
      <c r="P4" s="15"/>
      <c r="Q4" s="15"/>
    </row>
    <row r="5" ht="22.5" customHeight="1">
      <c r="A5" s="19">
        <v>1.0</v>
      </c>
      <c r="B5" s="20" t="s">
        <v>19</v>
      </c>
      <c r="C5" s="21" t="s">
        <v>20</v>
      </c>
      <c r="D5" s="22" t="s">
        <v>21</v>
      </c>
      <c r="E5" s="23" t="s">
        <v>22</v>
      </c>
      <c r="F5" s="24" t="s">
        <v>23</v>
      </c>
      <c r="G5" s="25">
        <v>59600.0</v>
      </c>
      <c r="H5" s="25" t="str">
        <f>IF(ISBLANK(G5),,IF((G5&gt;=4000000),"Celebrity",(IF(AND(G5&lt;4000000, G5&gt;=1000000),"Mega",(IF(AND(G5&lt;1000000, G5&gt;=100000),"Macro",(IF(AND(G5&lt;100000, G5&gt;=10000),"Micro",(IF((G5&lt;10000),"Nano",("Check")))))))))))</f>
        <v>Micro</v>
      </c>
      <c r="I5" s="26">
        <f>K5/G5</f>
        <v>0.1663422819</v>
      </c>
      <c r="J5" s="27">
        <f>average(6103,926100,19300,188200,4910,72100,136900,1577,33100)</f>
        <v>154254.4444</v>
      </c>
      <c r="K5" s="27">
        <f>8000+314+1600</f>
        <v>9914</v>
      </c>
      <c r="L5" s="28" t="s">
        <v>24</v>
      </c>
      <c r="M5" s="29">
        <v>1.0</v>
      </c>
      <c r="N5" s="30" t="s">
        <v>25</v>
      </c>
      <c r="O5" s="24">
        <v>2800000.0</v>
      </c>
      <c r="P5" s="23" t="s">
        <v>26</v>
      </c>
      <c r="Q5" s="23"/>
    </row>
    <row r="6">
      <c r="A6" s="15"/>
      <c r="B6" s="15"/>
      <c r="C6" s="15"/>
      <c r="D6" s="15"/>
      <c r="E6" s="15"/>
      <c r="F6" s="15"/>
      <c r="G6" s="15"/>
      <c r="H6" s="15"/>
      <c r="I6" s="15"/>
      <c r="J6" s="15"/>
      <c r="K6" s="15"/>
      <c r="L6" s="31"/>
      <c r="M6" s="29">
        <v>1.0</v>
      </c>
      <c r="N6" s="30" t="s">
        <v>27</v>
      </c>
      <c r="O6" s="15"/>
      <c r="P6" s="15"/>
      <c r="Q6" s="15"/>
    </row>
    <row r="7">
      <c r="A7" s="19">
        <v>2.0</v>
      </c>
      <c r="B7" s="20" t="s">
        <v>31</v>
      </c>
      <c r="C7" s="63" t="s">
        <v>32</v>
      </c>
      <c r="D7" s="64" t="s">
        <v>33</v>
      </c>
      <c r="E7" s="65" t="s">
        <v>22</v>
      </c>
      <c r="F7" s="66" t="s">
        <v>23</v>
      </c>
      <c r="G7" s="67">
        <v>35600.0</v>
      </c>
      <c r="H7" s="67" t="str">
        <f>IF(ISBLANK(G7),,IF((G7&gt;=4000000),"Celebrity",(IF(AND(G7&lt;4000000, G7&gt;=1000000),"Mega",(IF(AND(G7&lt;1000000, G7&gt;=100000),"Macro",(IF(AND(G7&lt;100000, G7&gt;=10000),"Micro",(IF((G7&lt;10000),"Nano",("Check")))))))))))</f>
        <v>Micro</v>
      </c>
      <c r="I7" s="68">
        <f>K7/G7</f>
        <v>0.1073033708</v>
      </c>
      <c r="J7" s="69">
        <f>average(10700,77600,36600,225100,12300,12300,111000,13000,18000,83000)</f>
        <v>59960</v>
      </c>
      <c r="K7" s="69">
        <f>3100+127+593</f>
        <v>3820</v>
      </c>
      <c r="L7" s="31"/>
      <c r="M7" s="70"/>
      <c r="N7" s="71"/>
      <c r="O7" s="66"/>
      <c r="P7" s="65"/>
      <c r="Q7" s="72"/>
    </row>
    <row r="8">
      <c r="A8" s="15"/>
      <c r="B8" s="15"/>
      <c r="C8" s="15"/>
      <c r="D8" s="15"/>
      <c r="E8" s="15"/>
      <c r="F8" s="15"/>
      <c r="G8" s="15"/>
      <c r="H8" s="15"/>
      <c r="I8" s="15"/>
      <c r="J8" s="15"/>
      <c r="K8" s="15"/>
      <c r="L8" s="31"/>
      <c r="M8" s="70"/>
      <c r="N8" s="71"/>
      <c r="O8" s="15"/>
      <c r="P8" s="15"/>
      <c r="Q8" s="72"/>
    </row>
    <row r="9">
      <c r="A9" s="19">
        <v>3.0</v>
      </c>
      <c r="B9" s="20" t="s">
        <v>19</v>
      </c>
      <c r="C9" s="21" t="s">
        <v>62</v>
      </c>
      <c r="D9" s="22" t="s">
        <v>63</v>
      </c>
      <c r="E9" s="23" t="s">
        <v>22</v>
      </c>
      <c r="F9" s="24" t="s">
        <v>64</v>
      </c>
      <c r="G9" s="25">
        <v>7545.0</v>
      </c>
      <c r="H9" s="25" t="str">
        <f>IF(ISBLANK(G9),,IF((G9&gt;=4000000),"Celebrity",(IF(AND(G9&lt;4000000, G9&gt;=1000000),"Mega",(IF(AND(G9&lt;1000000, G9&gt;=100000),"Macro",(IF(AND(G9&lt;100000, G9&gt;=10000),"Micro",(IF((G9&lt;10000),"Nano",("Check")))))))))))</f>
        <v>Nano</v>
      </c>
      <c r="I9" s="26">
        <f>K9/G9</f>
        <v>3.467329357</v>
      </c>
      <c r="J9" s="27">
        <v>312600.0</v>
      </c>
      <c r="K9" s="27">
        <f>23600+261+2300</f>
        <v>26161</v>
      </c>
      <c r="L9" s="31"/>
      <c r="M9" s="29">
        <v>1.0</v>
      </c>
      <c r="N9" s="30" t="s">
        <v>25</v>
      </c>
      <c r="O9" s="24">
        <v>4400000.0</v>
      </c>
      <c r="P9" s="35" t="s">
        <v>65</v>
      </c>
      <c r="Q9" s="36"/>
    </row>
    <row r="10">
      <c r="A10" s="15"/>
      <c r="B10" s="15"/>
      <c r="C10" s="15"/>
      <c r="D10" s="15"/>
      <c r="E10" s="15"/>
      <c r="F10" s="15"/>
      <c r="G10" s="15"/>
      <c r="H10" s="15"/>
      <c r="I10" s="15"/>
      <c r="J10" s="15"/>
      <c r="K10" s="15"/>
      <c r="L10" s="31"/>
      <c r="M10" s="29" t="s">
        <v>115</v>
      </c>
      <c r="N10" s="30" t="s">
        <v>115</v>
      </c>
      <c r="O10" s="15"/>
      <c r="P10" s="15"/>
      <c r="Q10" s="36"/>
    </row>
    <row r="11">
      <c r="A11" s="46">
        <v>4.0</v>
      </c>
      <c r="B11" s="20" t="s">
        <v>19</v>
      </c>
      <c r="C11" s="47" t="s">
        <v>80</v>
      </c>
      <c r="D11" s="43" t="s">
        <v>81</v>
      </c>
      <c r="E11" s="35" t="s">
        <v>22</v>
      </c>
      <c r="F11" s="25" t="s">
        <v>82</v>
      </c>
      <c r="G11" s="25">
        <v>22600.0</v>
      </c>
      <c r="H11" s="25" t="str">
        <f>IF(ISBLANK(G11),,IF((G11&gt;=4000000),"Celebrity",(IF(AND(G11&lt;4000000, G11&gt;=1000000),"Mega",(IF(AND(G11&lt;1000000, G11&gt;=100000),"Macro",(IF(AND(G11&lt;100000, G11&gt;=10000),"Micro",(IF((G11&lt;10000),"Nano",("Check")))))))))))</f>
        <v>Micro</v>
      </c>
      <c r="I11" s="26">
        <f>K11/G11</f>
        <v>0.005088495575</v>
      </c>
      <c r="J11" s="27">
        <v>3600.0</v>
      </c>
      <c r="K11" s="27">
        <f>111+2+2</f>
        <v>115</v>
      </c>
      <c r="L11" s="31"/>
      <c r="M11" s="29">
        <v>1.0</v>
      </c>
      <c r="N11" s="30" t="s">
        <v>25</v>
      </c>
      <c r="O11" s="33">
        <v>1200000.0</v>
      </c>
      <c r="P11" s="23" t="s">
        <v>83</v>
      </c>
      <c r="Q11" s="45"/>
    </row>
    <row r="12">
      <c r="A12" s="15"/>
      <c r="B12" s="15"/>
      <c r="C12" s="15"/>
      <c r="D12" s="15"/>
      <c r="E12" s="15"/>
      <c r="F12" s="15"/>
      <c r="G12" s="15"/>
      <c r="H12" s="15"/>
      <c r="I12" s="15"/>
      <c r="J12" s="15"/>
      <c r="K12" s="15"/>
      <c r="L12" s="31"/>
      <c r="M12" s="29" t="s">
        <v>115</v>
      </c>
      <c r="N12" s="30" t="s">
        <v>115</v>
      </c>
      <c r="O12" s="33" t="s">
        <v>115</v>
      </c>
      <c r="P12" s="15"/>
      <c r="Q12" s="33"/>
    </row>
    <row r="13">
      <c r="A13" s="46">
        <v>5.0</v>
      </c>
      <c r="B13" s="20" t="s">
        <v>19</v>
      </c>
      <c r="C13" s="50" t="s">
        <v>91</v>
      </c>
      <c r="D13" s="54" t="s">
        <v>92</v>
      </c>
      <c r="E13" s="35" t="s">
        <v>22</v>
      </c>
      <c r="F13" s="24" t="s">
        <v>87</v>
      </c>
      <c r="G13" s="25">
        <v>9835.0</v>
      </c>
      <c r="H13" s="25" t="str">
        <f>IF(ISBLANK(G13),,IF((G13&gt;=4000000),"Celebrity",(IF(AND(G13&lt;4000000, G13&gt;=1000000),"Mega",(IF(AND(G13&lt;1000000, G13&gt;=100000),"Macro",(IF(AND(G13&lt;100000, G13&gt;=10000),"Micro",(IF((G13&lt;10000),"Nano",("Check")))))))))))</f>
        <v>Nano</v>
      </c>
      <c r="I13" s="26">
        <f>K13/G13</f>
        <v>0</v>
      </c>
      <c r="J13" s="25">
        <v>2350.0</v>
      </c>
      <c r="K13" s="27"/>
      <c r="L13" s="31"/>
      <c r="M13" s="29">
        <v>1.0</v>
      </c>
      <c r="N13" s="30" t="s">
        <v>25</v>
      </c>
      <c r="O13" s="24">
        <v>2400000.0</v>
      </c>
      <c r="P13" s="23"/>
      <c r="Q13" s="45"/>
    </row>
    <row r="14">
      <c r="A14" s="15"/>
      <c r="B14" s="15"/>
      <c r="C14" s="15"/>
      <c r="D14" s="15"/>
      <c r="E14" s="15"/>
      <c r="F14" s="15"/>
      <c r="G14" s="15"/>
      <c r="H14" s="15"/>
      <c r="I14" s="15"/>
      <c r="J14" s="15"/>
      <c r="K14" s="15"/>
      <c r="L14" s="31"/>
      <c r="M14" s="29">
        <v>1.0</v>
      </c>
      <c r="N14" s="30" t="s">
        <v>27</v>
      </c>
      <c r="O14" s="15"/>
      <c r="P14" s="15"/>
      <c r="Q14" s="53"/>
    </row>
    <row r="15">
      <c r="A15" s="19">
        <v>6.0</v>
      </c>
      <c r="B15" s="20" t="s">
        <v>19</v>
      </c>
      <c r="C15" s="21" t="s">
        <v>35</v>
      </c>
      <c r="D15" s="22" t="s">
        <v>36</v>
      </c>
      <c r="E15" s="23" t="s">
        <v>22</v>
      </c>
      <c r="F15" s="24" t="s">
        <v>23</v>
      </c>
      <c r="G15" s="25">
        <v>18100.0</v>
      </c>
      <c r="H15" s="25" t="str">
        <f>IF(ISBLANK(G13),,IF((G13&gt;=4000000),"Celebrity",(IF(AND(G13&lt;4000000, G13&gt;=1000000),"Mega",(IF(AND(G13&lt;1000000, G13&gt;=100000),"Macro",(IF(AND(G13&lt;100000, G13&gt;=10000),"Micro",(IF((G13&lt;10000),"Nano",("Check")))))))))))</f>
        <v>Nano</v>
      </c>
      <c r="I15" s="26">
        <f>K15/G15</f>
        <v>0.08414364641</v>
      </c>
      <c r="J15" s="27">
        <f>average(98600,12300,6325,31600,34200,676500,3710,6520,9752,31600)</f>
        <v>91110.7</v>
      </c>
      <c r="K15" s="27">
        <f>1400+63+60</f>
        <v>1523</v>
      </c>
      <c r="L15" s="31"/>
      <c r="M15" s="29">
        <v>1.0</v>
      </c>
      <c r="N15" s="30" t="s">
        <v>25</v>
      </c>
      <c r="O15" s="24">
        <v>1000000.0</v>
      </c>
      <c r="P15" s="23"/>
      <c r="Q15" s="45"/>
    </row>
    <row r="16">
      <c r="A16" s="15"/>
      <c r="B16" s="15"/>
      <c r="C16" s="15"/>
      <c r="D16" s="15"/>
      <c r="E16" s="15"/>
      <c r="F16" s="15"/>
      <c r="G16" s="15"/>
      <c r="H16" s="15"/>
      <c r="I16" s="15"/>
      <c r="J16" s="15"/>
      <c r="K16" s="15"/>
      <c r="L16" s="31"/>
      <c r="M16" s="29">
        <v>1.0</v>
      </c>
      <c r="N16" s="30" t="s">
        <v>27</v>
      </c>
      <c r="O16" s="15"/>
      <c r="P16" s="15"/>
      <c r="Q16" s="53"/>
    </row>
    <row r="17">
      <c r="A17" s="19">
        <v>7.0</v>
      </c>
      <c r="B17" s="20" t="s">
        <v>19</v>
      </c>
      <c r="C17" s="21" t="s">
        <v>52</v>
      </c>
      <c r="D17" s="22" t="s">
        <v>53</v>
      </c>
      <c r="E17" s="23" t="s">
        <v>22</v>
      </c>
      <c r="F17" s="24" t="s">
        <v>23</v>
      </c>
      <c r="G17" s="25">
        <v>1961.0</v>
      </c>
      <c r="H17" s="25" t="str">
        <f>IF(ISBLANK(G13),,IF((G13&gt;=4000000),"Celebrity",(IF(AND(G13&lt;4000000, G13&gt;=1000000),"Mega",(IF(AND(G13&lt;1000000, G13&gt;=100000),"Macro",(IF(AND(G13&lt;100000, G13&gt;=10000),"Micro",(IF((G13&lt;10000),"Nano",("Check")))))))))))</f>
        <v>Nano</v>
      </c>
      <c r="I17" s="26">
        <f>K17/G17</f>
        <v>0</v>
      </c>
      <c r="J17" s="27"/>
      <c r="K17" s="27"/>
      <c r="L17" s="31"/>
      <c r="M17" s="29">
        <v>1.0</v>
      </c>
      <c r="N17" s="30" t="s">
        <v>25</v>
      </c>
      <c r="O17" s="24">
        <v>1400000.0</v>
      </c>
      <c r="P17" s="23" t="s">
        <v>26</v>
      </c>
      <c r="Q17" s="45"/>
    </row>
    <row r="18">
      <c r="A18" s="15"/>
      <c r="B18" s="15"/>
      <c r="C18" s="15"/>
      <c r="D18" s="15"/>
      <c r="E18" s="15"/>
      <c r="F18" s="15"/>
      <c r="G18" s="15"/>
      <c r="H18" s="15"/>
      <c r="I18" s="15"/>
      <c r="J18" s="15"/>
      <c r="K18" s="15"/>
      <c r="L18" s="31"/>
      <c r="M18" s="29">
        <v>1.0</v>
      </c>
      <c r="N18" s="30" t="s">
        <v>27</v>
      </c>
      <c r="O18" s="15"/>
      <c r="P18" s="15"/>
      <c r="Q18" s="73" t="s">
        <v>116</v>
      </c>
    </row>
    <row r="19">
      <c r="A19" s="19">
        <v>7.0</v>
      </c>
      <c r="B19" s="20" t="s">
        <v>117</v>
      </c>
      <c r="C19" s="21" t="s">
        <v>59</v>
      </c>
      <c r="D19" s="42" t="s">
        <v>60</v>
      </c>
      <c r="E19" s="23" t="s">
        <v>22</v>
      </c>
      <c r="F19" s="24" t="s">
        <v>23</v>
      </c>
      <c r="G19" s="25">
        <v>9585.0</v>
      </c>
      <c r="H19" s="25" t="str">
        <f>IF(ISBLANK(G19),,IF((G19&gt;=4000000),"Celebrity",(IF(AND(G19&lt;4000000, G19&gt;=1000000),"Mega",(IF(AND(G19&lt;1000000, G19&gt;=100000),"Macro",(IF(AND(G19&lt;100000, G19&gt;=10000),"Micro",(IF((G19&lt;10000),"Nano",("Check")))))))))))</f>
        <v>Nano</v>
      </c>
      <c r="I19" s="26">
        <f>K19/G19</f>
        <v>0</v>
      </c>
      <c r="J19" s="27"/>
      <c r="K19" s="27"/>
      <c r="L19" s="31"/>
      <c r="M19" s="29">
        <v>1.0</v>
      </c>
      <c r="N19" s="30" t="s">
        <v>25</v>
      </c>
      <c r="O19" s="24">
        <v>1900000.0</v>
      </c>
      <c r="P19" s="23"/>
      <c r="Q19" s="73" t="s">
        <v>61</v>
      </c>
    </row>
    <row r="20">
      <c r="A20" s="15"/>
      <c r="B20" s="15"/>
      <c r="C20" s="15"/>
      <c r="D20" s="15"/>
      <c r="E20" s="15"/>
      <c r="F20" s="15"/>
      <c r="G20" s="15"/>
      <c r="H20" s="15"/>
      <c r="I20" s="15"/>
      <c r="J20" s="15"/>
      <c r="K20" s="15"/>
      <c r="L20" s="15"/>
      <c r="M20" s="29" t="s">
        <v>115</v>
      </c>
      <c r="N20" s="30" t="s">
        <v>115</v>
      </c>
      <c r="O20" s="15"/>
      <c r="P20" s="15"/>
      <c r="Q20" s="53"/>
    </row>
    <row r="21">
      <c r="A21" s="59"/>
      <c r="B21" s="60"/>
      <c r="C21" s="60"/>
      <c r="D21" s="61"/>
      <c r="E21" s="59"/>
      <c r="F21" s="59"/>
      <c r="G21" s="59"/>
      <c r="H21" s="59"/>
      <c r="I21" s="59"/>
      <c r="J21" s="59"/>
      <c r="K21" s="59"/>
      <c r="L21" s="59"/>
      <c r="M21" s="59"/>
      <c r="N21" s="74" t="s">
        <v>118</v>
      </c>
      <c r="O21" s="75">
        <f>SUM(O5:O20)</f>
        <v>15100000</v>
      </c>
      <c r="P21" s="76"/>
      <c r="Q21" s="62"/>
    </row>
    <row r="22">
      <c r="A22" s="59"/>
      <c r="B22" s="60"/>
      <c r="C22" s="60"/>
      <c r="D22" s="61"/>
      <c r="E22" s="59"/>
      <c r="F22" s="59"/>
      <c r="G22" s="59"/>
      <c r="H22" s="59"/>
      <c r="I22" s="59"/>
      <c r="J22" s="59"/>
      <c r="K22" s="59"/>
      <c r="L22" s="59"/>
      <c r="M22" s="59"/>
      <c r="N22" s="74" t="s">
        <v>119</v>
      </c>
      <c r="O22" s="75">
        <f>(O21/0.995)-O21</f>
        <v>75879.39698</v>
      </c>
      <c r="P22" s="62"/>
      <c r="Q22" s="62"/>
    </row>
    <row r="23">
      <c r="A23" s="59"/>
      <c r="B23" s="60"/>
      <c r="C23" s="60"/>
      <c r="D23" s="61"/>
      <c r="E23" s="59"/>
      <c r="F23" s="59"/>
      <c r="G23" s="59"/>
      <c r="H23" s="59"/>
      <c r="I23" s="59"/>
      <c r="J23" s="59"/>
      <c r="K23" s="59"/>
      <c r="L23" s="59"/>
      <c r="M23" s="59"/>
      <c r="N23" s="74" t="s">
        <v>120</v>
      </c>
      <c r="O23" s="75">
        <f>O21+O22</f>
        <v>15175879.4</v>
      </c>
      <c r="P23" s="62"/>
      <c r="Q23" s="62"/>
    </row>
    <row r="24">
      <c r="A24" s="59"/>
      <c r="B24" s="60"/>
      <c r="C24" s="60"/>
      <c r="D24" s="61"/>
      <c r="E24" s="59"/>
      <c r="F24" s="59"/>
      <c r="G24" s="59"/>
      <c r="H24" s="59"/>
      <c r="I24" s="59"/>
      <c r="J24" s="59"/>
      <c r="K24" s="59"/>
      <c r="L24" s="59"/>
      <c r="M24" s="59"/>
      <c r="N24" s="59"/>
      <c r="O24" s="59"/>
      <c r="P24" s="62"/>
      <c r="Q24" s="62"/>
    </row>
    <row r="25">
      <c r="A25" s="59"/>
      <c r="B25" s="60"/>
      <c r="C25" s="60"/>
      <c r="D25" s="61"/>
      <c r="E25" s="59"/>
      <c r="F25" s="59"/>
      <c r="G25" s="59"/>
      <c r="H25" s="59"/>
      <c r="I25" s="59"/>
      <c r="J25" s="59"/>
      <c r="K25" s="59"/>
      <c r="L25" s="59"/>
      <c r="M25" s="59"/>
      <c r="N25" s="59"/>
      <c r="O25" s="59"/>
      <c r="P25" s="62"/>
      <c r="Q25" s="62"/>
    </row>
    <row r="26">
      <c r="A26" s="59"/>
      <c r="B26" s="60"/>
      <c r="C26" s="60"/>
      <c r="D26" s="61"/>
      <c r="E26" s="59"/>
      <c r="F26" s="59"/>
      <c r="G26" s="59"/>
      <c r="H26" s="59"/>
      <c r="I26" s="59"/>
      <c r="J26" s="59"/>
      <c r="K26" s="59"/>
      <c r="L26" s="59"/>
      <c r="M26" s="59"/>
      <c r="N26" s="59"/>
      <c r="O26" s="59"/>
      <c r="P26" s="62"/>
      <c r="Q26" s="62"/>
    </row>
    <row r="27">
      <c r="A27" s="59"/>
      <c r="B27" s="60"/>
      <c r="C27" s="60"/>
      <c r="D27" s="61"/>
      <c r="E27" s="59"/>
      <c r="F27" s="59"/>
      <c r="G27" s="59"/>
      <c r="H27" s="59"/>
      <c r="I27" s="59"/>
      <c r="J27" s="59"/>
      <c r="K27" s="59"/>
      <c r="L27" s="59"/>
      <c r="M27" s="59"/>
      <c r="N27" s="59"/>
      <c r="O27" s="59"/>
      <c r="P27" s="62"/>
      <c r="Q27" s="62"/>
    </row>
    <row r="28">
      <c r="A28" s="59"/>
      <c r="B28" s="60"/>
      <c r="C28" s="60"/>
      <c r="D28" s="61"/>
      <c r="E28" s="59"/>
      <c r="F28" s="59"/>
      <c r="G28" s="59"/>
      <c r="H28" s="59"/>
      <c r="I28" s="59"/>
      <c r="J28" s="59"/>
      <c r="K28" s="59"/>
      <c r="L28" s="59"/>
      <c r="M28" s="59"/>
      <c r="N28" s="59"/>
      <c r="O28" s="59"/>
      <c r="P28" s="62"/>
      <c r="Q28" s="62"/>
    </row>
    <row r="29">
      <c r="A29" s="59"/>
      <c r="B29" s="60"/>
      <c r="C29" s="60"/>
      <c r="D29" s="61"/>
      <c r="E29" s="59"/>
      <c r="F29" s="59"/>
      <c r="G29" s="59"/>
      <c r="H29" s="59"/>
      <c r="I29" s="59"/>
      <c r="J29" s="59"/>
      <c r="K29" s="59"/>
      <c r="L29" s="59"/>
      <c r="M29" s="59"/>
      <c r="N29" s="59"/>
      <c r="O29" s="59"/>
      <c r="P29" s="62"/>
      <c r="Q29" s="62"/>
    </row>
    <row r="30">
      <c r="A30" s="59"/>
      <c r="B30" s="60"/>
      <c r="C30" s="60"/>
      <c r="D30" s="61"/>
      <c r="E30" s="59"/>
      <c r="F30" s="59"/>
      <c r="G30" s="59"/>
      <c r="H30" s="59"/>
      <c r="I30" s="59"/>
      <c r="J30" s="59"/>
      <c r="K30" s="59"/>
      <c r="L30" s="59"/>
      <c r="M30" s="59"/>
      <c r="N30" s="59"/>
      <c r="O30" s="59"/>
      <c r="P30" s="62"/>
      <c r="Q30" s="62"/>
    </row>
    <row r="31">
      <c r="A31" s="59"/>
      <c r="B31" s="60"/>
      <c r="C31" s="60"/>
      <c r="D31" s="61"/>
      <c r="E31" s="59"/>
      <c r="F31" s="59"/>
      <c r="G31" s="59"/>
      <c r="H31" s="59"/>
      <c r="I31" s="59"/>
      <c r="J31" s="59"/>
      <c r="K31" s="59"/>
      <c r="L31" s="59"/>
      <c r="M31" s="59"/>
      <c r="N31" s="59"/>
      <c r="O31" s="59"/>
      <c r="P31" s="62"/>
      <c r="Q31" s="62"/>
    </row>
    <row r="32">
      <c r="A32" s="59"/>
      <c r="B32" s="60"/>
      <c r="C32" s="60"/>
      <c r="D32" s="61"/>
      <c r="E32" s="59"/>
      <c r="F32" s="59"/>
      <c r="G32" s="59"/>
      <c r="H32" s="59"/>
      <c r="I32" s="59"/>
      <c r="J32" s="59"/>
      <c r="K32" s="59"/>
      <c r="L32" s="59"/>
      <c r="M32" s="59"/>
      <c r="N32" s="59"/>
      <c r="O32" s="59"/>
      <c r="P32" s="62"/>
      <c r="Q32" s="62"/>
    </row>
    <row r="33">
      <c r="A33" s="59"/>
      <c r="B33" s="60"/>
      <c r="C33" s="60"/>
      <c r="D33" s="61"/>
      <c r="E33" s="59"/>
      <c r="F33" s="59"/>
      <c r="G33" s="59"/>
      <c r="H33" s="59"/>
      <c r="I33" s="59"/>
      <c r="J33" s="59"/>
      <c r="K33" s="59"/>
      <c r="L33" s="59"/>
      <c r="M33" s="59"/>
      <c r="N33" s="59"/>
      <c r="O33" s="59"/>
      <c r="P33" s="62"/>
      <c r="Q33" s="62"/>
    </row>
    <row r="34">
      <c r="A34" s="59"/>
      <c r="B34" s="60"/>
      <c r="C34" s="60"/>
      <c r="D34" s="61"/>
      <c r="E34" s="59"/>
      <c r="F34" s="59"/>
      <c r="G34" s="59"/>
      <c r="H34" s="59"/>
      <c r="I34" s="59"/>
      <c r="J34" s="59"/>
      <c r="K34" s="59"/>
      <c r="L34" s="59"/>
      <c r="M34" s="59"/>
      <c r="N34" s="59"/>
      <c r="O34" s="59"/>
      <c r="P34" s="62"/>
      <c r="Q34" s="62"/>
    </row>
    <row r="35">
      <c r="A35" s="59"/>
      <c r="B35" s="60"/>
      <c r="C35" s="60"/>
      <c r="D35" s="61"/>
      <c r="E35" s="59"/>
      <c r="F35" s="59"/>
      <c r="G35" s="59"/>
      <c r="H35" s="59"/>
      <c r="I35" s="59"/>
      <c r="J35" s="59"/>
      <c r="K35" s="59"/>
      <c r="L35" s="59"/>
      <c r="M35" s="59"/>
      <c r="N35" s="59"/>
      <c r="O35" s="59"/>
      <c r="P35" s="62"/>
      <c r="Q35" s="62"/>
    </row>
    <row r="36">
      <c r="A36" s="59"/>
      <c r="B36" s="60"/>
      <c r="C36" s="60"/>
      <c r="D36" s="61"/>
      <c r="E36" s="59"/>
      <c r="F36" s="59"/>
      <c r="G36" s="59"/>
      <c r="H36" s="59"/>
      <c r="I36" s="59"/>
      <c r="J36" s="59"/>
      <c r="K36" s="59"/>
      <c r="L36" s="59"/>
      <c r="M36" s="59"/>
      <c r="N36" s="59"/>
      <c r="O36" s="59"/>
      <c r="P36" s="62"/>
      <c r="Q36" s="62"/>
    </row>
    <row r="37">
      <c r="A37" s="59"/>
      <c r="B37" s="60"/>
      <c r="C37" s="60"/>
      <c r="D37" s="61"/>
      <c r="E37" s="59"/>
      <c r="F37" s="59"/>
      <c r="G37" s="59"/>
      <c r="H37" s="59"/>
      <c r="I37" s="59"/>
      <c r="J37" s="59"/>
      <c r="K37" s="59"/>
      <c r="L37" s="59"/>
      <c r="M37" s="59"/>
      <c r="N37" s="59"/>
      <c r="O37" s="59"/>
      <c r="P37" s="62"/>
      <c r="Q37" s="62"/>
    </row>
    <row r="38">
      <c r="A38" s="59"/>
      <c r="B38" s="60"/>
      <c r="C38" s="60"/>
      <c r="D38" s="61"/>
      <c r="E38" s="59"/>
      <c r="F38" s="59"/>
      <c r="G38" s="59"/>
      <c r="H38" s="59"/>
      <c r="I38" s="59"/>
      <c r="J38" s="59"/>
      <c r="K38" s="59"/>
      <c r="L38" s="59"/>
      <c r="M38" s="59"/>
      <c r="N38" s="59"/>
      <c r="O38" s="59"/>
      <c r="P38" s="62"/>
      <c r="Q38" s="62"/>
    </row>
    <row r="39">
      <c r="A39" s="59"/>
      <c r="B39" s="60"/>
      <c r="C39" s="60"/>
      <c r="D39" s="61"/>
      <c r="E39" s="59"/>
      <c r="F39" s="59"/>
      <c r="G39" s="59"/>
      <c r="H39" s="59"/>
      <c r="I39" s="59"/>
      <c r="J39" s="59"/>
      <c r="K39" s="59"/>
      <c r="L39" s="59"/>
      <c r="M39" s="59"/>
      <c r="N39" s="59"/>
      <c r="O39" s="59"/>
      <c r="P39" s="62"/>
      <c r="Q39" s="62"/>
    </row>
    <row r="40">
      <c r="A40" s="59"/>
      <c r="B40" s="60"/>
      <c r="C40" s="60"/>
      <c r="D40" s="61"/>
      <c r="E40" s="59"/>
      <c r="F40" s="59"/>
      <c r="G40" s="59"/>
      <c r="H40" s="59"/>
      <c r="I40" s="59"/>
      <c r="J40" s="59"/>
      <c r="K40" s="59"/>
      <c r="L40" s="59"/>
      <c r="M40" s="59"/>
      <c r="N40" s="59"/>
      <c r="O40" s="59"/>
      <c r="P40" s="62"/>
      <c r="Q40" s="62"/>
    </row>
    <row r="41">
      <c r="A41" s="59"/>
      <c r="B41" s="60"/>
      <c r="C41" s="60"/>
      <c r="D41" s="61"/>
      <c r="E41" s="59"/>
      <c r="F41" s="59"/>
      <c r="G41" s="59"/>
      <c r="H41" s="59"/>
      <c r="I41" s="59"/>
      <c r="J41" s="59"/>
      <c r="K41" s="59"/>
      <c r="L41" s="59"/>
      <c r="M41" s="59"/>
      <c r="N41" s="59"/>
      <c r="O41" s="59"/>
      <c r="P41" s="62"/>
      <c r="Q41" s="62"/>
    </row>
    <row r="42">
      <c r="A42" s="59"/>
      <c r="B42" s="60"/>
      <c r="C42" s="60"/>
      <c r="D42" s="61"/>
      <c r="E42" s="59"/>
      <c r="F42" s="59"/>
      <c r="G42" s="59"/>
      <c r="H42" s="59"/>
      <c r="I42" s="59"/>
      <c r="J42" s="59"/>
      <c r="K42" s="59"/>
      <c r="L42" s="59"/>
      <c r="M42" s="59"/>
      <c r="N42" s="59"/>
      <c r="O42" s="59"/>
      <c r="P42" s="62"/>
      <c r="Q42" s="62"/>
    </row>
    <row r="43">
      <c r="A43" s="59"/>
      <c r="B43" s="60"/>
      <c r="C43" s="60"/>
      <c r="D43" s="61"/>
      <c r="E43" s="59"/>
      <c r="F43" s="59"/>
      <c r="G43" s="59"/>
      <c r="H43" s="59"/>
      <c r="I43" s="59"/>
      <c r="J43" s="59"/>
      <c r="K43" s="59"/>
      <c r="L43" s="59"/>
      <c r="M43" s="59"/>
      <c r="N43" s="59"/>
      <c r="O43" s="59"/>
      <c r="P43" s="62"/>
      <c r="Q43" s="62"/>
    </row>
    <row r="44">
      <c r="A44" s="59"/>
      <c r="B44" s="60"/>
      <c r="C44" s="60"/>
      <c r="D44" s="61"/>
      <c r="E44" s="59"/>
      <c r="F44" s="59"/>
      <c r="G44" s="59"/>
      <c r="H44" s="59"/>
      <c r="I44" s="59"/>
      <c r="J44" s="59"/>
      <c r="K44" s="59"/>
      <c r="L44" s="59"/>
      <c r="M44" s="59"/>
      <c r="N44" s="59"/>
      <c r="O44" s="59"/>
      <c r="P44" s="62"/>
      <c r="Q44" s="62"/>
    </row>
    <row r="45">
      <c r="A45" s="59"/>
      <c r="B45" s="60"/>
      <c r="C45" s="60"/>
      <c r="D45" s="61"/>
      <c r="E45" s="59"/>
      <c r="F45" s="59"/>
      <c r="G45" s="59"/>
      <c r="H45" s="59"/>
      <c r="I45" s="59"/>
      <c r="J45" s="59"/>
      <c r="K45" s="59"/>
      <c r="L45" s="59"/>
      <c r="M45" s="59"/>
      <c r="N45" s="59"/>
      <c r="O45" s="59"/>
      <c r="P45" s="62"/>
      <c r="Q45" s="62"/>
    </row>
    <row r="46">
      <c r="A46" s="59"/>
      <c r="B46" s="60"/>
      <c r="C46" s="60"/>
      <c r="D46" s="61"/>
      <c r="E46" s="59"/>
      <c r="F46" s="59"/>
      <c r="G46" s="59"/>
      <c r="H46" s="59"/>
      <c r="I46" s="59"/>
      <c r="J46" s="59"/>
      <c r="K46" s="59"/>
      <c r="L46" s="59"/>
      <c r="M46" s="59"/>
      <c r="N46" s="59"/>
      <c r="O46" s="59"/>
      <c r="P46" s="62"/>
      <c r="Q46" s="62"/>
    </row>
    <row r="47">
      <c r="A47" s="59"/>
      <c r="B47" s="60"/>
      <c r="C47" s="60"/>
      <c r="D47" s="61"/>
      <c r="E47" s="59"/>
      <c r="F47" s="59"/>
      <c r="G47" s="59"/>
      <c r="H47" s="59"/>
      <c r="I47" s="59"/>
      <c r="J47" s="59"/>
      <c r="K47" s="59"/>
      <c r="L47" s="59"/>
      <c r="M47" s="59"/>
      <c r="N47" s="59"/>
      <c r="O47" s="59"/>
      <c r="P47" s="62"/>
      <c r="Q47" s="62"/>
    </row>
    <row r="48">
      <c r="A48" s="59"/>
      <c r="B48" s="60"/>
      <c r="C48" s="60"/>
      <c r="D48" s="61"/>
      <c r="E48" s="59"/>
      <c r="F48" s="59"/>
      <c r="G48" s="59"/>
      <c r="H48" s="59"/>
      <c r="I48" s="59"/>
      <c r="J48" s="59"/>
      <c r="K48" s="59"/>
      <c r="L48" s="59"/>
      <c r="M48" s="59"/>
      <c r="N48" s="59"/>
      <c r="O48" s="59"/>
      <c r="P48" s="62"/>
      <c r="Q48" s="62"/>
    </row>
    <row r="49">
      <c r="A49" s="59"/>
      <c r="B49" s="60"/>
      <c r="C49" s="60"/>
      <c r="D49" s="61"/>
      <c r="E49" s="59"/>
      <c r="F49" s="59"/>
      <c r="G49" s="59"/>
      <c r="H49" s="59"/>
      <c r="I49" s="59"/>
      <c r="J49" s="59"/>
      <c r="K49" s="59"/>
      <c r="L49" s="59"/>
      <c r="M49" s="59"/>
      <c r="N49" s="59"/>
      <c r="O49" s="59"/>
      <c r="P49" s="62"/>
      <c r="Q49" s="62"/>
    </row>
    <row r="50">
      <c r="A50" s="59"/>
      <c r="B50" s="60"/>
      <c r="C50" s="60"/>
      <c r="D50" s="61"/>
      <c r="E50" s="59"/>
      <c r="F50" s="59"/>
      <c r="G50" s="59"/>
      <c r="H50" s="59"/>
      <c r="I50" s="59"/>
      <c r="J50" s="59"/>
      <c r="K50" s="59"/>
      <c r="L50" s="59"/>
      <c r="M50" s="59"/>
      <c r="N50" s="59"/>
      <c r="O50" s="59"/>
      <c r="P50" s="62"/>
      <c r="Q50" s="62"/>
    </row>
    <row r="51">
      <c r="A51" s="59"/>
      <c r="B51" s="60"/>
      <c r="C51" s="60"/>
      <c r="D51" s="61"/>
      <c r="E51" s="59"/>
      <c r="F51" s="59"/>
      <c r="G51" s="59"/>
      <c r="H51" s="59"/>
      <c r="I51" s="59"/>
      <c r="J51" s="59"/>
      <c r="K51" s="59"/>
      <c r="L51" s="59"/>
      <c r="M51" s="59"/>
      <c r="N51" s="59"/>
      <c r="O51" s="59"/>
      <c r="P51" s="62"/>
      <c r="Q51" s="62"/>
    </row>
    <row r="52">
      <c r="A52" s="59"/>
      <c r="B52" s="60"/>
      <c r="C52" s="60"/>
      <c r="D52" s="61"/>
      <c r="E52" s="59"/>
      <c r="F52" s="59"/>
      <c r="G52" s="59"/>
      <c r="H52" s="59"/>
      <c r="I52" s="59"/>
      <c r="J52" s="59"/>
      <c r="K52" s="59"/>
      <c r="L52" s="59"/>
      <c r="M52" s="59"/>
      <c r="N52" s="59"/>
      <c r="O52" s="59"/>
      <c r="P52" s="62"/>
      <c r="Q52" s="62"/>
    </row>
    <row r="53">
      <c r="A53" s="59"/>
      <c r="B53" s="60"/>
      <c r="C53" s="60"/>
      <c r="D53" s="61"/>
      <c r="E53" s="59"/>
      <c r="F53" s="59"/>
      <c r="G53" s="59"/>
      <c r="H53" s="59"/>
      <c r="I53" s="59"/>
      <c r="J53" s="59"/>
      <c r="K53" s="59"/>
      <c r="L53" s="59"/>
      <c r="M53" s="59"/>
      <c r="N53" s="59"/>
      <c r="O53" s="59"/>
      <c r="P53" s="62"/>
      <c r="Q53" s="62"/>
    </row>
    <row r="54">
      <c r="A54" s="59"/>
      <c r="B54" s="60"/>
      <c r="C54" s="60"/>
      <c r="D54" s="61"/>
      <c r="E54" s="59"/>
      <c r="F54" s="59"/>
      <c r="G54" s="59"/>
      <c r="H54" s="59"/>
      <c r="I54" s="59"/>
      <c r="J54" s="59"/>
      <c r="K54" s="59"/>
      <c r="L54" s="59"/>
      <c r="M54" s="59"/>
      <c r="N54" s="59"/>
      <c r="O54" s="59"/>
      <c r="P54" s="62"/>
      <c r="Q54" s="62"/>
    </row>
    <row r="55">
      <c r="A55" s="59"/>
      <c r="B55" s="60"/>
      <c r="C55" s="60"/>
      <c r="D55" s="61"/>
      <c r="E55" s="59"/>
      <c r="F55" s="59"/>
      <c r="G55" s="59"/>
      <c r="H55" s="59"/>
      <c r="I55" s="59"/>
      <c r="J55" s="59"/>
      <c r="K55" s="59"/>
      <c r="L55" s="59"/>
      <c r="M55" s="59"/>
      <c r="N55" s="59"/>
      <c r="O55" s="59"/>
      <c r="P55" s="62"/>
      <c r="Q55" s="62"/>
    </row>
    <row r="56">
      <c r="A56" s="59"/>
      <c r="B56" s="60"/>
      <c r="C56" s="60"/>
      <c r="D56" s="61"/>
      <c r="E56" s="59"/>
      <c r="F56" s="59"/>
      <c r="G56" s="59"/>
      <c r="H56" s="59"/>
      <c r="I56" s="59"/>
      <c r="J56" s="59"/>
      <c r="K56" s="59"/>
      <c r="L56" s="59"/>
      <c r="M56" s="59"/>
      <c r="N56" s="59"/>
      <c r="O56" s="59"/>
      <c r="P56" s="62"/>
      <c r="Q56" s="62"/>
    </row>
    <row r="57">
      <c r="A57" s="59"/>
      <c r="B57" s="60"/>
      <c r="C57" s="60"/>
      <c r="D57" s="61"/>
      <c r="E57" s="59"/>
      <c r="F57" s="59"/>
      <c r="G57" s="59"/>
      <c r="H57" s="59"/>
      <c r="I57" s="59"/>
      <c r="J57" s="59"/>
      <c r="K57" s="59"/>
      <c r="L57" s="59"/>
      <c r="M57" s="59"/>
      <c r="N57" s="59"/>
      <c r="O57" s="59"/>
      <c r="P57" s="62"/>
      <c r="Q57" s="62"/>
    </row>
    <row r="58">
      <c r="A58" s="59"/>
      <c r="B58" s="60"/>
      <c r="C58" s="60"/>
      <c r="D58" s="61"/>
      <c r="E58" s="59"/>
      <c r="F58" s="59"/>
      <c r="G58" s="59"/>
      <c r="H58" s="59"/>
      <c r="I58" s="59"/>
      <c r="J58" s="59"/>
      <c r="K58" s="59"/>
      <c r="L58" s="59"/>
      <c r="M58" s="59"/>
      <c r="N58" s="59"/>
      <c r="O58" s="59"/>
      <c r="P58" s="62"/>
      <c r="Q58" s="62"/>
    </row>
    <row r="59">
      <c r="A59" s="59"/>
      <c r="B59" s="60"/>
      <c r="C59" s="60"/>
      <c r="D59" s="61"/>
      <c r="E59" s="59"/>
      <c r="F59" s="59"/>
      <c r="G59" s="59"/>
      <c r="H59" s="59"/>
      <c r="I59" s="59"/>
      <c r="J59" s="59"/>
      <c r="K59" s="59"/>
      <c r="L59" s="59"/>
      <c r="M59" s="59"/>
      <c r="N59" s="59"/>
      <c r="O59" s="59"/>
      <c r="P59" s="62"/>
      <c r="Q59" s="62"/>
    </row>
    <row r="60">
      <c r="A60" s="59"/>
      <c r="B60" s="60"/>
      <c r="C60" s="60"/>
      <c r="D60" s="61"/>
      <c r="E60" s="59"/>
      <c r="F60" s="59"/>
      <c r="G60" s="59"/>
      <c r="H60" s="59"/>
      <c r="I60" s="59"/>
      <c r="J60" s="59"/>
      <c r="K60" s="59"/>
      <c r="L60" s="59"/>
      <c r="M60" s="59"/>
      <c r="N60" s="59"/>
      <c r="O60" s="59"/>
      <c r="P60" s="62"/>
      <c r="Q60" s="62"/>
    </row>
    <row r="61">
      <c r="A61" s="59"/>
      <c r="B61" s="60"/>
      <c r="C61" s="60"/>
      <c r="D61" s="61"/>
      <c r="E61" s="59"/>
      <c r="F61" s="59"/>
      <c r="G61" s="59"/>
      <c r="H61" s="59"/>
      <c r="I61" s="59"/>
      <c r="J61" s="59"/>
      <c r="K61" s="59"/>
      <c r="L61" s="59"/>
      <c r="M61" s="59"/>
      <c r="N61" s="59"/>
      <c r="O61" s="59"/>
      <c r="P61" s="62"/>
      <c r="Q61" s="62"/>
    </row>
    <row r="62">
      <c r="A62" s="59"/>
      <c r="B62" s="60"/>
      <c r="C62" s="60"/>
      <c r="D62" s="61"/>
      <c r="E62" s="59"/>
      <c r="F62" s="59"/>
      <c r="G62" s="59"/>
      <c r="H62" s="59"/>
      <c r="I62" s="59"/>
      <c r="J62" s="59"/>
      <c r="K62" s="59"/>
      <c r="L62" s="59"/>
      <c r="M62" s="59"/>
      <c r="N62" s="59"/>
      <c r="O62" s="59"/>
      <c r="P62" s="62"/>
      <c r="Q62" s="62"/>
    </row>
    <row r="63">
      <c r="A63" s="59"/>
      <c r="B63" s="60"/>
      <c r="C63" s="60"/>
      <c r="D63" s="61"/>
      <c r="E63" s="59"/>
      <c r="F63" s="59"/>
      <c r="G63" s="59"/>
      <c r="H63" s="59"/>
      <c r="I63" s="59"/>
      <c r="J63" s="59"/>
      <c r="K63" s="59"/>
      <c r="L63" s="59"/>
      <c r="M63" s="59"/>
      <c r="N63" s="59"/>
      <c r="O63" s="59"/>
      <c r="P63" s="62"/>
      <c r="Q63" s="62"/>
    </row>
    <row r="64">
      <c r="A64" s="59"/>
      <c r="B64" s="60"/>
      <c r="C64" s="60"/>
      <c r="D64" s="61"/>
      <c r="E64" s="59"/>
      <c r="F64" s="59"/>
      <c r="G64" s="59"/>
      <c r="H64" s="59"/>
      <c r="I64" s="59"/>
      <c r="J64" s="59"/>
      <c r="K64" s="59"/>
      <c r="L64" s="59"/>
      <c r="M64" s="59"/>
      <c r="N64" s="59"/>
      <c r="O64" s="59"/>
      <c r="P64" s="62"/>
      <c r="Q64" s="62"/>
    </row>
    <row r="65">
      <c r="A65" s="59"/>
      <c r="B65" s="60"/>
      <c r="C65" s="60"/>
      <c r="D65" s="61"/>
      <c r="E65" s="59"/>
      <c r="F65" s="59"/>
      <c r="G65" s="59"/>
      <c r="H65" s="59"/>
      <c r="I65" s="59"/>
      <c r="J65" s="59"/>
      <c r="K65" s="59"/>
      <c r="L65" s="59"/>
      <c r="M65" s="59"/>
      <c r="N65" s="59"/>
      <c r="O65" s="59"/>
      <c r="P65" s="62"/>
      <c r="Q65" s="62"/>
    </row>
    <row r="66">
      <c r="A66" s="59"/>
      <c r="B66" s="60"/>
      <c r="C66" s="60"/>
      <c r="D66" s="61"/>
      <c r="E66" s="59"/>
      <c r="F66" s="59"/>
      <c r="G66" s="59"/>
      <c r="H66" s="59"/>
      <c r="I66" s="59"/>
      <c r="J66" s="59"/>
      <c r="K66" s="59"/>
      <c r="L66" s="59"/>
      <c r="M66" s="59"/>
      <c r="N66" s="59"/>
      <c r="O66" s="59"/>
      <c r="P66" s="62"/>
      <c r="Q66" s="62"/>
    </row>
    <row r="67">
      <c r="A67" s="59"/>
      <c r="B67" s="60"/>
      <c r="C67" s="60"/>
      <c r="D67" s="61"/>
      <c r="E67" s="59"/>
      <c r="F67" s="59"/>
      <c r="G67" s="59"/>
      <c r="H67" s="59"/>
      <c r="I67" s="59"/>
      <c r="J67" s="59"/>
      <c r="K67" s="59"/>
      <c r="L67" s="59"/>
      <c r="M67" s="59"/>
      <c r="N67" s="59"/>
      <c r="O67" s="59"/>
      <c r="P67" s="62"/>
      <c r="Q67" s="62"/>
    </row>
    <row r="68">
      <c r="A68" s="59"/>
      <c r="B68" s="60"/>
      <c r="C68" s="60"/>
      <c r="D68" s="61"/>
      <c r="E68" s="59"/>
      <c r="F68" s="59"/>
      <c r="G68" s="59"/>
      <c r="H68" s="59"/>
      <c r="I68" s="59"/>
      <c r="J68" s="59"/>
      <c r="K68" s="59"/>
      <c r="L68" s="59"/>
      <c r="M68" s="59"/>
      <c r="N68" s="59"/>
      <c r="O68" s="59"/>
      <c r="P68" s="62"/>
      <c r="Q68" s="62"/>
    </row>
    <row r="69">
      <c r="A69" s="59"/>
      <c r="B69" s="60"/>
      <c r="C69" s="60"/>
      <c r="D69" s="61"/>
      <c r="E69" s="59"/>
      <c r="F69" s="59"/>
      <c r="G69" s="59"/>
      <c r="H69" s="59"/>
      <c r="I69" s="59"/>
      <c r="J69" s="59"/>
      <c r="K69" s="59"/>
      <c r="L69" s="59"/>
      <c r="M69" s="59"/>
      <c r="N69" s="59"/>
      <c r="O69" s="59"/>
      <c r="P69" s="62"/>
      <c r="Q69" s="62"/>
    </row>
    <row r="70">
      <c r="A70" s="59"/>
      <c r="B70" s="60"/>
      <c r="C70" s="60"/>
      <c r="D70" s="61"/>
      <c r="E70" s="59"/>
      <c r="F70" s="59"/>
      <c r="G70" s="59"/>
      <c r="H70" s="59"/>
      <c r="I70" s="59"/>
      <c r="J70" s="59"/>
      <c r="K70" s="59"/>
      <c r="L70" s="59"/>
      <c r="M70" s="59"/>
      <c r="N70" s="59"/>
      <c r="O70" s="59"/>
      <c r="P70" s="62"/>
      <c r="Q70" s="62"/>
    </row>
    <row r="71">
      <c r="A71" s="59"/>
      <c r="B71" s="60"/>
      <c r="C71" s="60"/>
      <c r="D71" s="61"/>
      <c r="E71" s="59"/>
      <c r="F71" s="59"/>
      <c r="G71" s="59"/>
      <c r="H71" s="59"/>
      <c r="I71" s="59"/>
      <c r="J71" s="59"/>
      <c r="K71" s="59"/>
      <c r="L71" s="59"/>
      <c r="M71" s="59"/>
      <c r="N71" s="59"/>
      <c r="O71" s="59"/>
      <c r="P71" s="62"/>
      <c r="Q71" s="62"/>
    </row>
    <row r="72">
      <c r="A72" s="59"/>
      <c r="B72" s="60"/>
      <c r="C72" s="60"/>
      <c r="D72" s="61"/>
      <c r="E72" s="59"/>
      <c r="F72" s="59"/>
      <c r="G72" s="59"/>
      <c r="H72" s="59"/>
      <c r="I72" s="59"/>
      <c r="J72" s="59"/>
      <c r="K72" s="59"/>
      <c r="L72" s="59"/>
      <c r="M72" s="59"/>
      <c r="N72" s="59"/>
      <c r="O72" s="59"/>
      <c r="P72" s="62"/>
      <c r="Q72" s="62"/>
    </row>
    <row r="73">
      <c r="A73" s="59"/>
      <c r="B73" s="60"/>
      <c r="C73" s="60"/>
      <c r="D73" s="61"/>
      <c r="E73" s="59"/>
      <c r="F73" s="59"/>
      <c r="G73" s="59"/>
      <c r="H73" s="59"/>
      <c r="I73" s="59"/>
      <c r="J73" s="59"/>
      <c r="K73" s="59"/>
      <c r="L73" s="59"/>
      <c r="M73" s="59"/>
      <c r="N73" s="59"/>
      <c r="O73" s="59"/>
      <c r="P73" s="62"/>
      <c r="Q73" s="62"/>
    </row>
    <row r="74">
      <c r="A74" s="59"/>
      <c r="B74" s="60"/>
      <c r="C74" s="60"/>
      <c r="D74" s="61"/>
      <c r="E74" s="59"/>
      <c r="F74" s="59"/>
      <c r="G74" s="59"/>
      <c r="H74" s="59"/>
      <c r="I74" s="59"/>
      <c r="J74" s="59"/>
      <c r="K74" s="59"/>
      <c r="L74" s="59"/>
      <c r="M74" s="59"/>
      <c r="N74" s="59"/>
      <c r="O74" s="59"/>
      <c r="P74" s="62"/>
      <c r="Q74" s="62"/>
    </row>
    <row r="75">
      <c r="A75" s="59"/>
      <c r="B75" s="60"/>
      <c r="C75" s="60"/>
      <c r="D75" s="61"/>
      <c r="E75" s="59"/>
      <c r="F75" s="59"/>
      <c r="G75" s="59"/>
      <c r="H75" s="59"/>
      <c r="I75" s="59"/>
      <c r="J75" s="59"/>
      <c r="K75" s="59"/>
      <c r="L75" s="59"/>
      <c r="M75" s="59"/>
      <c r="N75" s="59"/>
      <c r="O75" s="59"/>
      <c r="P75" s="62"/>
      <c r="Q75" s="62"/>
    </row>
    <row r="76">
      <c r="A76" s="59"/>
      <c r="B76" s="60"/>
      <c r="C76" s="60"/>
      <c r="D76" s="61"/>
      <c r="E76" s="59"/>
      <c r="F76" s="59"/>
      <c r="G76" s="59"/>
      <c r="H76" s="59"/>
      <c r="I76" s="59"/>
      <c r="J76" s="59"/>
      <c r="K76" s="59"/>
      <c r="L76" s="59"/>
      <c r="M76" s="59"/>
      <c r="N76" s="59"/>
      <c r="O76" s="59"/>
      <c r="P76" s="62"/>
      <c r="Q76" s="62"/>
    </row>
    <row r="77">
      <c r="A77" s="59"/>
      <c r="B77" s="60"/>
      <c r="C77" s="60"/>
      <c r="D77" s="61"/>
      <c r="E77" s="59"/>
      <c r="F77" s="59"/>
      <c r="G77" s="59"/>
      <c r="H77" s="59"/>
      <c r="I77" s="59"/>
      <c r="J77" s="59"/>
      <c r="K77" s="59"/>
      <c r="L77" s="59"/>
      <c r="M77" s="59"/>
      <c r="N77" s="59"/>
      <c r="O77" s="59"/>
      <c r="P77" s="62"/>
      <c r="Q77" s="62"/>
    </row>
    <row r="78">
      <c r="A78" s="59"/>
      <c r="B78" s="60"/>
      <c r="C78" s="60"/>
      <c r="D78" s="61"/>
      <c r="E78" s="59"/>
      <c r="F78" s="59"/>
      <c r="G78" s="59"/>
      <c r="H78" s="59"/>
      <c r="I78" s="59"/>
      <c r="J78" s="59"/>
      <c r="K78" s="59"/>
      <c r="L78" s="59"/>
      <c r="M78" s="59"/>
      <c r="N78" s="59"/>
      <c r="O78" s="59"/>
      <c r="P78" s="62"/>
      <c r="Q78" s="62"/>
    </row>
    <row r="79">
      <c r="A79" s="59"/>
      <c r="B79" s="60"/>
      <c r="C79" s="60"/>
      <c r="D79" s="61"/>
      <c r="E79" s="59"/>
      <c r="F79" s="59"/>
      <c r="G79" s="59"/>
      <c r="H79" s="59"/>
      <c r="I79" s="59"/>
      <c r="J79" s="59"/>
      <c r="K79" s="59"/>
      <c r="L79" s="59"/>
      <c r="M79" s="59"/>
      <c r="N79" s="59"/>
      <c r="O79" s="59"/>
      <c r="P79" s="62"/>
      <c r="Q79" s="62"/>
    </row>
    <row r="80">
      <c r="A80" s="59"/>
      <c r="B80" s="60"/>
      <c r="C80" s="60"/>
      <c r="D80" s="61"/>
      <c r="E80" s="59"/>
      <c r="F80" s="59"/>
      <c r="G80" s="59"/>
      <c r="H80" s="59"/>
      <c r="I80" s="59"/>
      <c r="J80" s="59"/>
      <c r="K80" s="59"/>
      <c r="L80" s="59"/>
      <c r="M80" s="59"/>
      <c r="N80" s="59"/>
      <c r="O80" s="59"/>
      <c r="P80" s="62"/>
      <c r="Q80" s="62"/>
    </row>
    <row r="81">
      <c r="A81" s="59"/>
      <c r="B81" s="60"/>
      <c r="C81" s="60"/>
      <c r="D81" s="61"/>
      <c r="E81" s="59"/>
      <c r="F81" s="59"/>
      <c r="G81" s="59"/>
      <c r="H81" s="59"/>
      <c r="I81" s="59"/>
      <c r="J81" s="59"/>
      <c r="K81" s="59"/>
      <c r="L81" s="59"/>
      <c r="M81" s="59"/>
      <c r="N81" s="59"/>
      <c r="O81" s="59"/>
      <c r="P81" s="62"/>
      <c r="Q81" s="62"/>
    </row>
    <row r="82">
      <c r="A82" s="59"/>
      <c r="B82" s="60"/>
      <c r="C82" s="60"/>
      <c r="D82" s="61"/>
      <c r="E82" s="59"/>
      <c r="F82" s="59"/>
      <c r="G82" s="59"/>
      <c r="H82" s="59"/>
      <c r="I82" s="59"/>
      <c r="J82" s="59"/>
      <c r="K82" s="59"/>
      <c r="L82" s="59"/>
      <c r="M82" s="59"/>
      <c r="N82" s="59"/>
      <c r="O82" s="59"/>
      <c r="P82" s="62"/>
      <c r="Q82" s="62"/>
    </row>
    <row r="83">
      <c r="A83" s="59"/>
      <c r="B83" s="60"/>
      <c r="C83" s="60"/>
      <c r="D83" s="61"/>
      <c r="E83" s="59"/>
      <c r="F83" s="59"/>
      <c r="G83" s="59"/>
      <c r="H83" s="59"/>
      <c r="I83" s="59"/>
      <c r="J83" s="59"/>
      <c r="K83" s="59"/>
      <c r="L83" s="59"/>
      <c r="M83" s="59"/>
      <c r="N83" s="59"/>
      <c r="O83" s="59"/>
      <c r="P83" s="62"/>
      <c r="Q83" s="62"/>
    </row>
    <row r="84">
      <c r="A84" s="59"/>
      <c r="B84" s="60"/>
      <c r="C84" s="60"/>
      <c r="D84" s="61"/>
      <c r="E84" s="59"/>
      <c r="F84" s="59"/>
      <c r="G84" s="59"/>
      <c r="H84" s="59"/>
      <c r="I84" s="59"/>
      <c r="J84" s="59"/>
      <c r="K84" s="59"/>
      <c r="L84" s="59"/>
      <c r="M84" s="59"/>
      <c r="N84" s="59"/>
      <c r="O84" s="59"/>
      <c r="P84" s="62"/>
      <c r="Q84" s="62"/>
    </row>
    <row r="85">
      <c r="A85" s="59"/>
      <c r="B85" s="60"/>
      <c r="C85" s="60"/>
      <c r="D85" s="61"/>
      <c r="E85" s="59"/>
      <c r="F85" s="59"/>
      <c r="G85" s="59"/>
      <c r="H85" s="59"/>
      <c r="I85" s="59"/>
      <c r="J85" s="59"/>
      <c r="K85" s="59"/>
      <c r="L85" s="59"/>
      <c r="M85" s="59"/>
      <c r="N85" s="59"/>
      <c r="O85" s="59"/>
      <c r="P85" s="62"/>
      <c r="Q85" s="62"/>
    </row>
    <row r="86">
      <c r="A86" s="59"/>
      <c r="B86" s="60"/>
      <c r="C86" s="60"/>
      <c r="D86" s="61"/>
      <c r="E86" s="59"/>
      <c r="F86" s="59"/>
      <c r="G86" s="59"/>
      <c r="H86" s="59"/>
      <c r="I86" s="59"/>
      <c r="J86" s="59"/>
      <c r="K86" s="59"/>
      <c r="L86" s="59"/>
      <c r="M86" s="59"/>
      <c r="N86" s="59"/>
      <c r="O86" s="59"/>
      <c r="P86" s="62"/>
      <c r="Q86" s="62"/>
    </row>
    <row r="87">
      <c r="A87" s="59"/>
      <c r="B87" s="60"/>
      <c r="C87" s="60"/>
      <c r="D87" s="61"/>
      <c r="E87" s="59"/>
      <c r="F87" s="59"/>
      <c r="G87" s="59"/>
      <c r="H87" s="59"/>
      <c r="I87" s="59"/>
      <c r="J87" s="59"/>
      <c r="K87" s="59"/>
      <c r="L87" s="59"/>
      <c r="M87" s="59"/>
      <c r="N87" s="59"/>
      <c r="O87" s="59"/>
      <c r="P87" s="62"/>
      <c r="Q87" s="62"/>
    </row>
    <row r="88">
      <c r="A88" s="59"/>
      <c r="B88" s="60"/>
      <c r="C88" s="60"/>
      <c r="D88" s="61"/>
      <c r="E88" s="59"/>
      <c r="F88" s="59"/>
      <c r="G88" s="59"/>
      <c r="H88" s="59"/>
      <c r="I88" s="59"/>
      <c r="J88" s="59"/>
      <c r="K88" s="59"/>
      <c r="L88" s="59"/>
      <c r="M88" s="59"/>
      <c r="N88" s="59"/>
      <c r="O88" s="59"/>
      <c r="P88" s="62"/>
      <c r="Q88" s="62"/>
    </row>
    <row r="89">
      <c r="A89" s="59"/>
      <c r="B89" s="60"/>
      <c r="C89" s="60"/>
      <c r="D89" s="61"/>
      <c r="E89" s="59"/>
      <c r="F89" s="59"/>
      <c r="G89" s="59"/>
      <c r="H89" s="59"/>
      <c r="I89" s="59"/>
      <c r="J89" s="59"/>
      <c r="K89" s="59"/>
      <c r="L89" s="59"/>
      <c r="M89" s="59"/>
      <c r="N89" s="59"/>
      <c r="O89" s="59"/>
      <c r="P89" s="62"/>
      <c r="Q89" s="62"/>
    </row>
    <row r="90">
      <c r="A90" s="59"/>
      <c r="B90" s="60"/>
      <c r="C90" s="60"/>
      <c r="D90" s="61"/>
      <c r="E90" s="59"/>
      <c r="F90" s="59"/>
      <c r="G90" s="59"/>
      <c r="H90" s="59"/>
      <c r="I90" s="59"/>
      <c r="J90" s="59"/>
      <c r="K90" s="59"/>
      <c r="L90" s="59"/>
      <c r="M90" s="59"/>
      <c r="N90" s="59"/>
      <c r="O90" s="59"/>
      <c r="P90" s="62"/>
      <c r="Q90" s="62"/>
    </row>
    <row r="91">
      <c r="A91" s="59"/>
      <c r="B91" s="60"/>
      <c r="C91" s="60"/>
      <c r="D91" s="61"/>
      <c r="E91" s="59"/>
      <c r="F91" s="59"/>
      <c r="G91" s="59"/>
      <c r="H91" s="59"/>
      <c r="I91" s="59"/>
      <c r="J91" s="59"/>
      <c r="K91" s="59"/>
      <c r="L91" s="59"/>
      <c r="M91" s="59"/>
      <c r="N91" s="59"/>
      <c r="O91" s="59"/>
      <c r="P91" s="62"/>
      <c r="Q91" s="62"/>
    </row>
    <row r="92">
      <c r="A92" s="59"/>
      <c r="B92" s="60"/>
      <c r="C92" s="60"/>
      <c r="D92" s="61"/>
      <c r="E92" s="59"/>
      <c r="F92" s="59"/>
      <c r="G92" s="59"/>
      <c r="H92" s="59"/>
      <c r="I92" s="59"/>
      <c r="J92" s="59"/>
      <c r="K92" s="59"/>
      <c r="L92" s="59"/>
      <c r="M92" s="59"/>
      <c r="N92" s="59"/>
      <c r="O92" s="59"/>
      <c r="P92" s="62"/>
      <c r="Q92" s="62"/>
    </row>
    <row r="93">
      <c r="A93" s="59"/>
      <c r="B93" s="60"/>
      <c r="C93" s="60"/>
      <c r="D93" s="61"/>
      <c r="E93" s="59"/>
      <c r="F93" s="59"/>
      <c r="G93" s="59"/>
      <c r="H93" s="59"/>
      <c r="I93" s="59"/>
      <c r="J93" s="59"/>
      <c r="K93" s="59"/>
      <c r="L93" s="59"/>
      <c r="M93" s="59"/>
      <c r="N93" s="59"/>
      <c r="O93" s="59"/>
      <c r="P93" s="62"/>
      <c r="Q93" s="62"/>
    </row>
    <row r="94">
      <c r="A94" s="59"/>
      <c r="B94" s="60"/>
      <c r="C94" s="60"/>
      <c r="D94" s="61"/>
      <c r="E94" s="59"/>
      <c r="F94" s="59"/>
      <c r="G94" s="59"/>
      <c r="H94" s="59"/>
      <c r="I94" s="59"/>
      <c r="J94" s="59"/>
      <c r="K94" s="59"/>
      <c r="L94" s="59"/>
      <c r="M94" s="59"/>
      <c r="N94" s="59"/>
      <c r="O94" s="59"/>
      <c r="P94" s="62"/>
      <c r="Q94" s="62"/>
    </row>
    <row r="95">
      <c r="A95" s="59"/>
      <c r="B95" s="60"/>
      <c r="C95" s="60"/>
      <c r="D95" s="61"/>
      <c r="E95" s="59"/>
      <c r="F95" s="59"/>
      <c r="G95" s="59"/>
      <c r="H95" s="59"/>
      <c r="I95" s="59"/>
      <c r="J95" s="59"/>
      <c r="K95" s="59"/>
      <c r="L95" s="59"/>
      <c r="M95" s="59"/>
      <c r="N95" s="59"/>
      <c r="O95" s="59"/>
      <c r="P95" s="62"/>
      <c r="Q95" s="62"/>
    </row>
    <row r="96">
      <c r="A96" s="59"/>
      <c r="B96" s="60"/>
      <c r="C96" s="60"/>
      <c r="D96" s="61"/>
      <c r="E96" s="59"/>
      <c r="F96" s="59"/>
      <c r="G96" s="59"/>
      <c r="H96" s="59"/>
      <c r="I96" s="59"/>
      <c r="J96" s="59"/>
      <c r="K96" s="59"/>
      <c r="L96" s="59"/>
      <c r="M96" s="59"/>
      <c r="N96" s="59"/>
      <c r="O96" s="59"/>
      <c r="P96" s="62"/>
      <c r="Q96" s="62"/>
    </row>
    <row r="97">
      <c r="A97" s="59"/>
      <c r="B97" s="60"/>
      <c r="C97" s="60"/>
      <c r="D97" s="61"/>
      <c r="E97" s="59"/>
      <c r="F97" s="59"/>
      <c r="G97" s="59"/>
      <c r="H97" s="59"/>
      <c r="I97" s="59"/>
      <c r="J97" s="59"/>
      <c r="K97" s="59"/>
      <c r="L97" s="59"/>
      <c r="M97" s="59"/>
      <c r="N97" s="59"/>
      <c r="O97" s="59"/>
      <c r="P97" s="62"/>
      <c r="Q97" s="62"/>
    </row>
    <row r="98">
      <c r="A98" s="59"/>
      <c r="B98" s="60"/>
      <c r="C98" s="60"/>
      <c r="D98" s="61"/>
      <c r="E98" s="59"/>
      <c r="F98" s="59"/>
      <c r="G98" s="59"/>
      <c r="H98" s="59"/>
      <c r="I98" s="59"/>
      <c r="J98" s="59"/>
      <c r="K98" s="59"/>
      <c r="L98" s="59"/>
      <c r="M98" s="59"/>
      <c r="N98" s="59"/>
      <c r="O98" s="59"/>
      <c r="P98" s="62"/>
      <c r="Q98" s="62"/>
    </row>
    <row r="99">
      <c r="A99" s="59"/>
      <c r="B99" s="60"/>
      <c r="C99" s="60"/>
      <c r="D99" s="61"/>
      <c r="E99" s="59"/>
      <c r="F99" s="59"/>
      <c r="G99" s="59"/>
      <c r="H99" s="59"/>
      <c r="I99" s="59"/>
      <c r="J99" s="59"/>
      <c r="K99" s="59"/>
      <c r="L99" s="59"/>
      <c r="M99" s="59"/>
      <c r="N99" s="59"/>
      <c r="O99" s="59"/>
      <c r="P99" s="62"/>
      <c r="Q99" s="62"/>
    </row>
    <row r="100">
      <c r="A100" s="59"/>
      <c r="B100" s="60"/>
      <c r="C100" s="60"/>
      <c r="D100" s="61"/>
      <c r="E100" s="59"/>
      <c r="F100" s="59"/>
      <c r="G100" s="59"/>
      <c r="H100" s="59"/>
      <c r="I100" s="59"/>
      <c r="J100" s="59"/>
      <c r="K100" s="59"/>
      <c r="L100" s="59"/>
      <c r="M100" s="59"/>
      <c r="N100" s="59"/>
      <c r="O100" s="59"/>
      <c r="P100" s="62"/>
      <c r="Q100" s="62"/>
    </row>
    <row r="101">
      <c r="A101" s="59"/>
      <c r="B101" s="60"/>
      <c r="C101" s="60"/>
      <c r="D101" s="61"/>
      <c r="E101" s="59"/>
      <c r="F101" s="59"/>
      <c r="G101" s="59"/>
      <c r="H101" s="59"/>
      <c r="I101" s="59"/>
      <c r="J101" s="59"/>
      <c r="K101" s="59"/>
      <c r="L101" s="59"/>
      <c r="M101" s="59"/>
      <c r="N101" s="59"/>
      <c r="O101" s="59"/>
      <c r="P101" s="62"/>
      <c r="Q101" s="62"/>
    </row>
    <row r="102">
      <c r="A102" s="59"/>
      <c r="B102" s="60"/>
      <c r="C102" s="60"/>
      <c r="D102" s="61"/>
      <c r="E102" s="59"/>
      <c r="F102" s="59"/>
      <c r="G102" s="59"/>
      <c r="H102" s="59"/>
      <c r="I102" s="59"/>
      <c r="J102" s="59"/>
      <c r="K102" s="59"/>
      <c r="L102" s="59"/>
      <c r="M102" s="59"/>
      <c r="N102" s="59"/>
      <c r="O102" s="59"/>
      <c r="P102" s="62"/>
      <c r="Q102" s="62"/>
    </row>
    <row r="103">
      <c r="A103" s="59"/>
      <c r="B103" s="60"/>
      <c r="C103" s="60"/>
      <c r="D103" s="61"/>
      <c r="E103" s="59"/>
      <c r="F103" s="59"/>
      <c r="G103" s="59"/>
      <c r="H103" s="59"/>
      <c r="I103" s="59"/>
      <c r="J103" s="59"/>
      <c r="K103" s="59"/>
      <c r="L103" s="59"/>
      <c r="M103" s="59"/>
      <c r="N103" s="59"/>
      <c r="O103" s="59"/>
      <c r="P103" s="62"/>
      <c r="Q103" s="62"/>
    </row>
    <row r="104">
      <c r="A104" s="59"/>
      <c r="B104" s="60"/>
      <c r="C104" s="60"/>
      <c r="D104" s="61"/>
      <c r="E104" s="59"/>
      <c r="F104" s="59"/>
      <c r="G104" s="59"/>
      <c r="H104" s="59"/>
      <c r="I104" s="59"/>
      <c r="J104" s="59"/>
      <c r="K104" s="59"/>
      <c r="L104" s="59"/>
      <c r="M104" s="59"/>
      <c r="N104" s="59"/>
      <c r="O104" s="59"/>
      <c r="P104" s="62"/>
      <c r="Q104" s="62"/>
    </row>
    <row r="105">
      <c r="A105" s="59"/>
      <c r="B105" s="60"/>
      <c r="C105" s="60"/>
      <c r="D105" s="61"/>
      <c r="E105" s="59"/>
      <c r="F105" s="59"/>
      <c r="G105" s="59"/>
      <c r="H105" s="59"/>
      <c r="I105" s="59"/>
      <c r="J105" s="59"/>
      <c r="K105" s="59"/>
      <c r="L105" s="59"/>
      <c r="M105" s="59"/>
      <c r="N105" s="59"/>
      <c r="O105" s="59"/>
      <c r="P105" s="62"/>
      <c r="Q105" s="62"/>
    </row>
    <row r="106">
      <c r="A106" s="59"/>
      <c r="B106" s="60"/>
      <c r="C106" s="60"/>
      <c r="D106" s="61"/>
      <c r="E106" s="59"/>
      <c r="F106" s="59"/>
      <c r="G106" s="59"/>
      <c r="H106" s="59"/>
      <c r="I106" s="59"/>
      <c r="J106" s="59"/>
      <c r="K106" s="59"/>
      <c r="L106" s="59"/>
      <c r="M106" s="59"/>
      <c r="N106" s="59"/>
      <c r="O106" s="59"/>
      <c r="P106" s="62"/>
      <c r="Q106" s="62"/>
    </row>
    <row r="107">
      <c r="A107" s="59"/>
      <c r="B107" s="60"/>
      <c r="C107" s="60"/>
      <c r="D107" s="61"/>
      <c r="E107" s="59"/>
      <c r="F107" s="59"/>
      <c r="G107" s="59"/>
      <c r="H107" s="59"/>
      <c r="I107" s="59"/>
      <c r="J107" s="59"/>
      <c r="K107" s="59"/>
      <c r="L107" s="59"/>
      <c r="M107" s="59"/>
      <c r="N107" s="59"/>
      <c r="O107" s="59"/>
      <c r="P107" s="62"/>
      <c r="Q107" s="62"/>
    </row>
    <row r="108">
      <c r="A108" s="59"/>
      <c r="B108" s="60"/>
      <c r="C108" s="60"/>
      <c r="D108" s="61"/>
      <c r="E108" s="59"/>
      <c r="F108" s="59"/>
      <c r="G108" s="59"/>
      <c r="H108" s="59"/>
      <c r="I108" s="59"/>
      <c r="J108" s="59"/>
      <c r="K108" s="59"/>
      <c r="L108" s="59"/>
      <c r="M108" s="59"/>
      <c r="N108" s="59"/>
      <c r="O108" s="59"/>
      <c r="P108" s="62"/>
      <c r="Q108" s="62"/>
    </row>
    <row r="109">
      <c r="A109" s="59"/>
      <c r="B109" s="60"/>
      <c r="C109" s="60"/>
      <c r="D109" s="61"/>
      <c r="E109" s="59"/>
      <c r="F109" s="59"/>
      <c r="G109" s="59"/>
      <c r="H109" s="59"/>
      <c r="I109" s="59"/>
      <c r="J109" s="59"/>
      <c r="K109" s="59"/>
      <c r="L109" s="59"/>
      <c r="M109" s="59"/>
      <c r="N109" s="59"/>
      <c r="O109" s="59"/>
      <c r="P109" s="62"/>
      <c r="Q109" s="62"/>
    </row>
    <row r="110">
      <c r="A110" s="59"/>
      <c r="B110" s="60"/>
      <c r="C110" s="60"/>
      <c r="D110" s="61"/>
      <c r="E110" s="59"/>
      <c r="F110" s="59"/>
      <c r="G110" s="59"/>
      <c r="H110" s="59"/>
      <c r="I110" s="59"/>
      <c r="J110" s="59"/>
      <c r="K110" s="59"/>
      <c r="L110" s="59"/>
      <c r="M110" s="59"/>
      <c r="N110" s="59"/>
      <c r="O110" s="59"/>
      <c r="P110" s="62"/>
      <c r="Q110" s="62"/>
    </row>
    <row r="111">
      <c r="A111" s="59"/>
      <c r="B111" s="60"/>
      <c r="C111" s="60"/>
      <c r="D111" s="61"/>
      <c r="E111" s="59"/>
      <c r="F111" s="59"/>
      <c r="G111" s="59"/>
      <c r="H111" s="59"/>
      <c r="I111" s="59"/>
      <c r="J111" s="59"/>
      <c r="K111" s="59"/>
      <c r="L111" s="59"/>
      <c r="M111" s="59"/>
      <c r="N111" s="59"/>
      <c r="O111" s="59"/>
      <c r="P111" s="62"/>
      <c r="Q111" s="62"/>
    </row>
    <row r="112">
      <c r="A112" s="59"/>
      <c r="B112" s="60"/>
      <c r="C112" s="60"/>
      <c r="D112" s="61"/>
      <c r="E112" s="59"/>
      <c r="F112" s="59"/>
      <c r="G112" s="59"/>
      <c r="H112" s="59"/>
      <c r="I112" s="59"/>
      <c r="J112" s="59"/>
      <c r="K112" s="59"/>
      <c r="L112" s="59"/>
      <c r="M112" s="59"/>
      <c r="N112" s="59"/>
      <c r="O112" s="59"/>
      <c r="P112" s="62"/>
      <c r="Q112" s="62"/>
    </row>
    <row r="113">
      <c r="A113" s="59"/>
      <c r="B113" s="60"/>
      <c r="C113" s="60"/>
      <c r="D113" s="61"/>
      <c r="E113" s="59"/>
      <c r="F113" s="59"/>
      <c r="G113" s="59"/>
      <c r="H113" s="59"/>
      <c r="I113" s="59"/>
      <c r="J113" s="59"/>
      <c r="K113" s="59"/>
      <c r="L113" s="59"/>
      <c r="M113" s="59"/>
      <c r="N113" s="59"/>
      <c r="O113" s="59"/>
      <c r="P113" s="62"/>
      <c r="Q113" s="62"/>
    </row>
    <row r="114">
      <c r="A114" s="59"/>
      <c r="B114" s="60"/>
      <c r="C114" s="60"/>
      <c r="D114" s="61"/>
      <c r="E114" s="59"/>
      <c r="F114" s="59"/>
      <c r="G114" s="59"/>
      <c r="H114" s="59"/>
      <c r="I114" s="59"/>
      <c r="J114" s="59"/>
      <c r="K114" s="59"/>
      <c r="L114" s="59"/>
      <c r="M114" s="59"/>
      <c r="N114" s="59"/>
      <c r="O114" s="59"/>
      <c r="P114" s="62"/>
      <c r="Q114" s="62"/>
    </row>
    <row r="115">
      <c r="A115" s="59"/>
      <c r="B115" s="60"/>
      <c r="C115" s="60"/>
      <c r="D115" s="61"/>
      <c r="E115" s="59"/>
      <c r="F115" s="59"/>
      <c r="G115" s="59"/>
      <c r="H115" s="59"/>
      <c r="I115" s="59"/>
      <c r="J115" s="59"/>
      <c r="K115" s="59"/>
      <c r="L115" s="59"/>
      <c r="M115" s="59"/>
      <c r="N115" s="59"/>
      <c r="O115" s="59"/>
      <c r="P115" s="62"/>
      <c r="Q115" s="62"/>
    </row>
    <row r="116">
      <c r="A116" s="59"/>
      <c r="B116" s="60"/>
      <c r="C116" s="60"/>
      <c r="D116" s="61"/>
      <c r="E116" s="59"/>
      <c r="F116" s="59"/>
      <c r="G116" s="59"/>
      <c r="H116" s="59"/>
      <c r="I116" s="59"/>
      <c r="J116" s="59"/>
      <c r="K116" s="59"/>
      <c r="L116" s="59"/>
      <c r="M116" s="59"/>
      <c r="N116" s="59"/>
      <c r="O116" s="59"/>
      <c r="P116" s="62"/>
      <c r="Q116" s="62"/>
    </row>
    <row r="117">
      <c r="A117" s="59"/>
      <c r="B117" s="60"/>
      <c r="C117" s="60"/>
      <c r="D117" s="61"/>
      <c r="E117" s="59"/>
      <c r="F117" s="59"/>
      <c r="G117" s="59"/>
      <c r="H117" s="59"/>
      <c r="I117" s="59"/>
      <c r="J117" s="59"/>
      <c r="K117" s="59"/>
      <c r="L117" s="59"/>
      <c r="M117" s="59"/>
      <c r="N117" s="59"/>
      <c r="O117" s="59"/>
      <c r="P117" s="62"/>
      <c r="Q117" s="62"/>
    </row>
    <row r="118">
      <c r="A118" s="59"/>
      <c r="B118" s="60"/>
      <c r="C118" s="60"/>
      <c r="D118" s="61"/>
      <c r="E118" s="59"/>
      <c r="F118" s="59"/>
      <c r="G118" s="59"/>
      <c r="H118" s="59"/>
      <c r="I118" s="59"/>
      <c r="J118" s="59"/>
      <c r="K118" s="59"/>
      <c r="L118" s="59"/>
      <c r="M118" s="59"/>
      <c r="N118" s="59"/>
      <c r="O118" s="59"/>
      <c r="P118" s="62"/>
      <c r="Q118" s="62"/>
    </row>
    <row r="119">
      <c r="A119" s="59"/>
      <c r="B119" s="60"/>
      <c r="C119" s="60"/>
      <c r="D119" s="61"/>
      <c r="E119" s="59"/>
      <c r="F119" s="59"/>
      <c r="G119" s="59"/>
      <c r="H119" s="59"/>
      <c r="I119" s="59"/>
      <c r="J119" s="59"/>
      <c r="K119" s="59"/>
      <c r="L119" s="59"/>
      <c r="M119" s="59"/>
      <c r="N119" s="59"/>
      <c r="O119" s="59"/>
      <c r="P119" s="62"/>
      <c r="Q119" s="62"/>
    </row>
    <row r="120">
      <c r="A120" s="59"/>
      <c r="B120" s="60"/>
      <c r="C120" s="60"/>
      <c r="D120" s="61"/>
      <c r="E120" s="59"/>
      <c r="F120" s="59"/>
      <c r="G120" s="59"/>
      <c r="H120" s="59"/>
      <c r="I120" s="59"/>
      <c r="J120" s="59"/>
      <c r="K120" s="59"/>
      <c r="L120" s="59"/>
      <c r="M120" s="59"/>
      <c r="N120" s="59"/>
      <c r="O120" s="59"/>
      <c r="P120" s="62"/>
      <c r="Q120" s="62"/>
    </row>
    <row r="121">
      <c r="A121" s="59"/>
      <c r="B121" s="60"/>
      <c r="C121" s="60"/>
      <c r="D121" s="61"/>
      <c r="E121" s="59"/>
      <c r="F121" s="59"/>
      <c r="G121" s="59"/>
      <c r="H121" s="59"/>
      <c r="I121" s="59"/>
      <c r="J121" s="59"/>
      <c r="K121" s="59"/>
      <c r="L121" s="59"/>
      <c r="M121" s="59"/>
      <c r="N121" s="59"/>
      <c r="O121" s="59"/>
      <c r="P121" s="62"/>
      <c r="Q121" s="62"/>
    </row>
    <row r="122">
      <c r="A122" s="59"/>
      <c r="B122" s="60"/>
      <c r="C122" s="60"/>
      <c r="D122" s="61"/>
      <c r="E122" s="59"/>
      <c r="F122" s="59"/>
      <c r="G122" s="59"/>
      <c r="H122" s="59"/>
      <c r="I122" s="59"/>
      <c r="J122" s="59"/>
      <c r="K122" s="59"/>
      <c r="L122" s="59"/>
      <c r="M122" s="59"/>
      <c r="N122" s="59"/>
      <c r="O122" s="59"/>
      <c r="P122" s="62"/>
      <c r="Q122" s="62"/>
    </row>
    <row r="123">
      <c r="A123" s="59"/>
      <c r="B123" s="60"/>
      <c r="C123" s="60"/>
      <c r="D123" s="61"/>
      <c r="E123" s="59"/>
      <c r="F123" s="59"/>
      <c r="G123" s="59"/>
      <c r="H123" s="59"/>
      <c r="I123" s="59"/>
      <c r="J123" s="59"/>
      <c r="K123" s="59"/>
      <c r="L123" s="59"/>
      <c r="M123" s="59"/>
      <c r="N123" s="59"/>
      <c r="O123" s="59"/>
      <c r="P123" s="62"/>
      <c r="Q123" s="62"/>
    </row>
    <row r="124">
      <c r="A124" s="59"/>
      <c r="B124" s="60"/>
      <c r="C124" s="60"/>
      <c r="D124" s="61"/>
      <c r="E124" s="59"/>
      <c r="F124" s="59"/>
      <c r="G124" s="59"/>
      <c r="H124" s="59"/>
      <c r="I124" s="59"/>
      <c r="J124" s="59"/>
      <c r="K124" s="59"/>
      <c r="L124" s="59"/>
      <c r="M124" s="59"/>
      <c r="N124" s="59"/>
      <c r="O124" s="59"/>
      <c r="P124" s="62"/>
      <c r="Q124" s="62"/>
    </row>
    <row r="125">
      <c r="A125" s="59"/>
      <c r="B125" s="60"/>
      <c r="C125" s="60"/>
      <c r="D125" s="61"/>
      <c r="E125" s="59"/>
      <c r="F125" s="59"/>
      <c r="G125" s="59"/>
      <c r="H125" s="59"/>
      <c r="I125" s="59"/>
      <c r="J125" s="59"/>
      <c r="K125" s="59"/>
      <c r="L125" s="59"/>
      <c r="M125" s="59"/>
      <c r="N125" s="59"/>
      <c r="O125" s="59"/>
      <c r="P125" s="62"/>
      <c r="Q125" s="62"/>
    </row>
    <row r="126">
      <c r="A126" s="59"/>
      <c r="B126" s="60"/>
      <c r="C126" s="60"/>
      <c r="D126" s="61"/>
      <c r="E126" s="59"/>
      <c r="F126" s="59"/>
      <c r="G126" s="59"/>
      <c r="H126" s="59"/>
      <c r="I126" s="59"/>
      <c r="J126" s="59"/>
      <c r="K126" s="59"/>
      <c r="L126" s="59"/>
      <c r="M126" s="59"/>
      <c r="N126" s="59"/>
      <c r="O126" s="59"/>
      <c r="P126" s="62"/>
      <c r="Q126" s="62"/>
    </row>
    <row r="127">
      <c r="A127" s="59"/>
      <c r="B127" s="60"/>
      <c r="C127" s="60"/>
      <c r="D127" s="61"/>
      <c r="E127" s="59"/>
      <c r="F127" s="59"/>
      <c r="G127" s="59"/>
      <c r="H127" s="59"/>
      <c r="I127" s="59"/>
      <c r="J127" s="59"/>
      <c r="K127" s="59"/>
      <c r="L127" s="59"/>
      <c r="M127" s="59"/>
      <c r="N127" s="59"/>
      <c r="O127" s="59"/>
      <c r="P127" s="62"/>
      <c r="Q127" s="62"/>
    </row>
    <row r="128">
      <c r="A128" s="59"/>
      <c r="B128" s="60"/>
      <c r="C128" s="60"/>
      <c r="D128" s="61"/>
      <c r="E128" s="59"/>
      <c r="F128" s="59"/>
      <c r="G128" s="59"/>
      <c r="H128" s="59"/>
      <c r="I128" s="59"/>
      <c r="J128" s="59"/>
      <c r="K128" s="59"/>
      <c r="L128" s="59"/>
      <c r="M128" s="59"/>
      <c r="N128" s="59"/>
      <c r="O128" s="59"/>
      <c r="P128" s="62"/>
      <c r="Q128" s="62"/>
    </row>
    <row r="129">
      <c r="A129" s="59"/>
      <c r="B129" s="60"/>
      <c r="C129" s="60"/>
      <c r="D129" s="61"/>
      <c r="E129" s="59"/>
      <c r="F129" s="59"/>
      <c r="G129" s="59"/>
      <c r="H129" s="59"/>
      <c r="I129" s="59"/>
      <c r="J129" s="59"/>
      <c r="K129" s="59"/>
      <c r="L129" s="59"/>
      <c r="M129" s="59"/>
      <c r="N129" s="59"/>
      <c r="O129" s="59"/>
      <c r="P129" s="62"/>
      <c r="Q129" s="62"/>
    </row>
    <row r="130">
      <c r="A130" s="59"/>
      <c r="B130" s="60"/>
      <c r="C130" s="60"/>
      <c r="D130" s="61"/>
      <c r="E130" s="59"/>
      <c r="F130" s="59"/>
      <c r="G130" s="59"/>
      <c r="H130" s="59"/>
      <c r="I130" s="59"/>
      <c r="J130" s="59"/>
      <c r="K130" s="59"/>
      <c r="L130" s="59"/>
      <c r="M130" s="59"/>
      <c r="N130" s="59"/>
      <c r="O130" s="59"/>
      <c r="P130" s="62"/>
      <c r="Q130" s="62"/>
    </row>
    <row r="131">
      <c r="A131" s="59"/>
      <c r="B131" s="60"/>
      <c r="C131" s="60"/>
      <c r="D131" s="61"/>
      <c r="E131" s="59"/>
      <c r="F131" s="59"/>
      <c r="G131" s="59"/>
      <c r="H131" s="59"/>
      <c r="I131" s="59"/>
      <c r="J131" s="59"/>
      <c r="K131" s="59"/>
      <c r="L131" s="59"/>
      <c r="M131" s="59"/>
      <c r="N131" s="59"/>
      <c r="O131" s="59"/>
      <c r="P131" s="62"/>
      <c r="Q131" s="62"/>
    </row>
    <row r="132">
      <c r="A132" s="59"/>
      <c r="B132" s="60"/>
      <c r="C132" s="60"/>
      <c r="D132" s="61"/>
      <c r="E132" s="59"/>
      <c r="F132" s="59"/>
      <c r="G132" s="59"/>
      <c r="H132" s="59"/>
      <c r="I132" s="59"/>
      <c r="J132" s="59"/>
      <c r="K132" s="59"/>
      <c r="L132" s="59"/>
      <c r="M132" s="59"/>
      <c r="N132" s="59"/>
      <c r="O132" s="59"/>
      <c r="P132" s="62"/>
      <c r="Q132" s="62"/>
    </row>
    <row r="133">
      <c r="A133" s="59"/>
      <c r="B133" s="60"/>
      <c r="C133" s="60"/>
      <c r="D133" s="61"/>
      <c r="E133" s="59"/>
      <c r="F133" s="59"/>
      <c r="G133" s="59"/>
      <c r="H133" s="59"/>
      <c r="I133" s="59"/>
      <c r="J133" s="59"/>
      <c r="K133" s="59"/>
      <c r="L133" s="59"/>
      <c r="M133" s="59"/>
      <c r="N133" s="59"/>
      <c r="O133" s="59"/>
      <c r="P133" s="62"/>
      <c r="Q133" s="62"/>
    </row>
    <row r="134">
      <c r="A134" s="59"/>
      <c r="B134" s="60"/>
      <c r="C134" s="60"/>
      <c r="D134" s="61"/>
      <c r="E134" s="59"/>
      <c r="F134" s="59"/>
      <c r="G134" s="59"/>
      <c r="H134" s="59"/>
      <c r="I134" s="59"/>
      <c r="J134" s="59"/>
      <c r="K134" s="59"/>
      <c r="L134" s="59"/>
      <c r="M134" s="59"/>
      <c r="N134" s="59"/>
      <c r="O134" s="59"/>
      <c r="P134" s="62"/>
      <c r="Q134" s="62"/>
    </row>
    <row r="135">
      <c r="A135" s="59"/>
      <c r="B135" s="60"/>
      <c r="C135" s="60"/>
      <c r="D135" s="61"/>
      <c r="E135" s="59"/>
      <c r="F135" s="59"/>
      <c r="G135" s="59"/>
      <c r="H135" s="59"/>
      <c r="I135" s="59"/>
      <c r="J135" s="59"/>
      <c r="K135" s="59"/>
      <c r="L135" s="59"/>
      <c r="M135" s="59"/>
      <c r="N135" s="59"/>
      <c r="O135" s="59"/>
      <c r="P135" s="62"/>
      <c r="Q135" s="62"/>
    </row>
    <row r="136">
      <c r="A136" s="59"/>
      <c r="B136" s="60"/>
      <c r="C136" s="60"/>
      <c r="D136" s="61"/>
      <c r="E136" s="59"/>
      <c r="F136" s="59"/>
      <c r="G136" s="59"/>
      <c r="H136" s="59"/>
      <c r="I136" s="59"/>
      <c r="J136" s="59"/>
      <c r="K136" s="59"/>
      <c r="L136" s="59"/>
      <c r="M136" s="59"/>
      <c r="N136" s="59"/>
      <c r="O136" s="59"/>
      <c r="P136" s="62"/>
      <c r="Q136" s="62"/>
    </row>
    <row r="137">
      <c r="A137" s="59"/>
      <c r="B137" s="60"/>
      <c r="C137" s="60"/>
      <c r="D137" s="61"/>
      <c r="E137" s="59"/>
      <c r="F137" s="59"/>
      <c r="G137" s="59"/>
      <c r="H137" s="59"/>
      <c r="I137" s="59"/>
      <c r="J137" s="59"/>
      <c r="K137" s="59"/>
      <c r="L137" s="59"/>
      <c r="M137" s="59"/>
      <c r="N137" s="59"/>
      <c r="O137" s="59"/>
      <c r="P137" s="62"/>
      <c r="Q137" s="62"/>
    </row>
    <row r="138">
      <c r="A138" s="59"/>
      <c r="B138" s="60"/>
      <c r="C138" s="60"/>
      <c r="D138" s="61"/>
      <c r="E138" s="59"/>
      <c r="F138" s="59"/>
      <c r="G138" s="59"/>
      <c r="H138" s="59"/>
      <c r="I138" s="59"/>
      <c r="J138" s="59"/>
      <c r="K138" s="59"/>
      <c r="L138" s="59"/>
      <c r="M138" s="59"/>
      <c r="N138" s="59"/>
      <c r="O138" s="59"/>
      <c r="P138" s="62"/>
      <c r="Q138" s="62"/>
    </row>
    <row r="139">
      <c r="A139" s="59"/>
      <c r="B139" s="60"/>
      <c r="C139" s="60"/>
      <c r="D139" s="61"/>
      <c r="E139" s="59"/>
      <c r="F139" s="59"/>
      <c r="G139" s="59"/>
      <c r="H139" s="59"/>
      <c r="I139" s="59"/>
      <c r="J139" s="59"/>
      <c r="K139" s="59"/>
      <c r="L139" s="59"/>
      <c r="M139" s="59"/>
      <c r="N139" s="59"/>
      <c r="O139" s="59"/>
      <c r="P139" s="62"/>
      <c r="Q139" s="62"/>
    </row>
    <row r="140">
      <c r="A140" s="59"/>
      <c r="B140" s="60"/>
      <c r="C140" s="60"/>
      <c r="D140" s="61"/>
      <c r="E140" s="59"/>
      <c r="F140" s="59"/>
      <c r="G140" s="59"/>
      <c r="H140" s="59"/>
      <c r="I140" s="59"/>
      <c r="J140" s="59"/>
      <c r="K140" s="59"/>
      <c r="L140" s="59"/>
      <c r="M140" s="59"/>
      <c r="N140" s="59"/>
      <c r="O140" s="59"/>
      <c r="P140" s="62"/>
      <c r="Q140" s="62"/>
    </row>
    <row r="141">
      <c r="A141" s="59"/>
      <c r="B141" s="60"/>
      <c r="C141" s="60"/>
      <c r="D141" s="61"/>
      <c r="E141" s="59"/>
      <c r="F141" s="59"/>
      <c r="G141" s="59"/>
      <c r="H141" s="59"/>
      <c r="I141" s="59"/>
      <c r="J141" s="59"/>
      <c r="K141" s="59"/>
      <c r="L141" s="59"/>
      <c r="M141" s="59"/>
      <c r="N141" s="59"/>
      <c r="O141" s="59"/>
      <c r="P141" s="62"/>
      <c r="Q141" s="62"/>
    </row>
    <row r="142">
      <c r="A142" s="59"/>
      <c r="B142" s="60"/>
      <c r="C142" s="60"/>
      <c r="D142" s="61"/>
      <c r="E142" s="59"/>
      <c r="F142" s="59"/>
      <c r="G142" s="59"/>
      <c r="H142" s="59"/>
      <c r="I142" s="59"/>
      <c r="J142" s="59"/>
      <c r="K142" s="59"/>
      <c r="L142" s="59"/>
      <c r="M142" s="59"/>
      <c r="N142" s="59"/>
      <c r="O142" s="59"/>
      <c r="P142" s="62"/>
      <c r="Q142" s="62"/>
    </row>
    <row r="143">
      <c r="A143" s="59"/>
      <c r="B143" s="60"/>
      <c r="C143" s="60"/>
      <c r="D143" s="61"/>
      <c r="E143" s="59"/>
      <c r="F143" s="59"/>
      <c r="G143" s="59"/>
      <c r="H143" s="59"/>
      <c r="I143" s="59"/>
      <c r="J143" s="59"/>
      <c r="K143" s="59"/>
      <c r="L143" s="59"/>
      <c r="M143" s="59"/>
      <c r="N143" s="59"/>
      <c r="O143" s="59"/>
      <c r="P143" s="62"/>
      <c r="Q143" s="62"/>
    </row>
    <row r="144">
      <c r="A144" s="59"/>
      <c r="B144" s="60"/>
      <c r="C144" s="60"/>
      <c r="D144" s="61"/>
      <c r="E144" s="59"/>
      <c r="F144" s="59"/>
      <c r="G144" s="59"/>
      <c r="H144" s="59"/>
      <c r="I144" s="59"/>
      <c r="J144" s="59"/>
      <c r="K144" s="59"/>
      <c r="L144" s="59"/>
      <c r="M144" s="59"/>
      <c r="N144" s="59"/>
      <c r="O144" s="59"/>
      <c r="P144" s="62"/>
      <c r="Q144" s="62"/>
    </row>
    <row r="145">
      <c r="A145" s="59"/>
      <c r="B145" s="60"/>
      <c r="C145" s="60"/>
      <c r="D145" s="61"/>
      <c r="E145" s="59"/>
      <c r="F145" s="59"/>
      <c r="G145" s="59"/>
      <c r="H145" s="59"/>
      <c r="I145" s="59"/>
      <c r="J145" s="59"/>
      <c r="K145" s="59"/>
      <c r="L145" s="59"/>
      <c r="M145" s="59"/>
      <c r="N145" s="59"/>
      <c r="O145" s="59"/>
      <c r="P145" s="62"/>
      <c r="Q145" s="62"/>
    </row>
    <row r="146">
      <c r="A146" s="59"/>
      <c r="B146" s="60"/>
      <c r="C146" s="60"/>
      <c r="D146" s="61"/>
      <c r="E146" s="59"/>
      <c r="F146" s="59"/>
      <c r="G146" s="59"/>
      <c r="H146" s="59"/>
      <c r="I146" s="59"/>
      <c r="J146" s="59"/>
      <c r="K146" s="59"/>
      <c r="L146" s="59"/>
      <c r="M146" s="59"/>
      <c r="N146" s="59"/>
      <c r="O146" s="59"/>
      <c r="P146" s="62"/>
      <c r="Q146" s="62"/>
    </row>
    <row r="147">
      <c r="A147" s="59"/>
      <c r="B147" s="60"/>
      <c r="C147" s="60"/>
      <c r="D147" s="61"/>
      <c r="E147" s="59"/>
      <c r="F147" s="59"/>
      <c r="G147" s="59"/>
      <c r="H147" s="59"/>
      <c r="I147" s="59"/>
      <c r="J147" s="59"/>
      <c r="K147" s="59"/>
      <c r="L147" s="59"/>
      <c r="M147" s="59"/>
      <c r="N147" s="59"/>
      <c r="O147" s="59"/>
      <c r="P147" s="62"/>
      <c r="Q147" s="62"/>
    </row>
    <row r="148">
      <c r="A148" s="59"/>
      <c r="B148" s="60"/>
      <c r="C148" s="60"/>
      <c r="D148" s="61"/>
      <c r="E148" s="59"/>
      <c r="F148" s="59"/>
      <c r="G148" s="59"/>
      <c r="H148" s="59"/>
      <c r="I148" s="59"/>
      <c r="J148" s="59"/>
      <c r="K148" s="59"/>
      <c r="L148" s="59"/>
      <c r="M148" s="59"/>
      <c r="N148" s="59"/>
      <c r="O148" s="59"/>
      <c r="P148" s="62"/>
      <c r="Q148" s="62"/>
    </row>
    <row r="149">
      <c r="A149" s="59"/>
      <c r="B149" s="60"/>
      <c r="C149" s="60"/>
      <c r="D149" s="61"/>
      <c r="E149" s="59"/>
      <c r="F149" s="59"/>
      <c r="G149" s="59"/>
      <c r="H149" s="59"/>
      <c r="I149" s="59"/>
      <c r="J149" s="59"/>
      <c r="K149" s="59"/>
      <c r="L149" s="59"/>
      <c r="M149" s="59"/>
      <c r="N149" s="59"/>
      <c r="O149" s="59"/>
      <c r="P149" s="62"/>
      <c r="Q149" s="62"/>
    </row>
    <row r="150">
      <c r="A150" s="59"/>
      <c r="B150" s="60"/>
      <c r="C150" s="60"/>
      <c r="D150" s="61"/>
      <c r="E150" s="59"/>
      <c r="F150" s="59"/>
      <c r="G150" s="59"/>
      <c r="H150" s="59"/>
      <c r="I150" s="59"/>
      <c r="J150" s="59"/>
      <c r="K150" s="59"/>
      <c r="L150" s="59"/>
      <c r="M150" s="59"/>
      <c r="N150" s="59"/>
      <c r="O150" s="59"/>
      <c r="P150" s="62"/>
      <c r="Q150" s="62"/>
    </row>
    <row r="151">
      <c r="A151" s="59"/>
      <c r="B151" s="60"/>
      <c r="C151" s="60"/>
      <c r="D151" s="61"/>
      <c r="E151" s="59"/>
      <c r="F151" s="59"/>
      <c r="G151" s="59"/>
      <c r="H151" s="59"/>
      <c r="I151" s="59"/>
      <c r="J151" s="59"/>
      <c r="K151" s="59"/>
      <c r="L151" s="59"/>
      <c r="M151" s="59"/>
      <c r="N151" s="59"/>
      <c r="O151" s="59"/>
      <c r="P151" s="62"/>
      <c r="Q151" s="62"/>
    </row>
    <row r="152">
      <c r="A152" s="59"/>
      <c r="B152" s="60"/>
      <c r="C152" s="60"/>
      <c r="D152" s="61"/>
      <c r="E152" s="59"/>
      <c r="F152" s="59"/>
      <c r="G152" s="59"/>
      <c r="H152" s="59"/>
      <c r="I152" s="59"/>
      <c r="J152" s="59"/>
      <c r="K152" s="59"/>
      <c r="L152" s="59"/>
      <c r="M152" s="59"/>
      <c r="N152" s="59"/>
      <c r="O152" s="59"/>
      <c r="P152" s="62"/>
      <c r="Q152" s="62"/>
    </row>
    <row r="153">
      <c r="A153" s="59"/>
      <c r="B153" s="60"/>
      <c r="C153" s="60"/>
      <c r="D153" s="61"/>
      <c r="E153" s="59"/>
      <c r="F153" s="59"/>
      <c r="G153" s="59"/>
      <c r="H153" s="59"/>
      <c r="I153" s="59"/>
      <c r="J153" s="59"/>
      <c r="K153" s="59"/>
      <c r="L153" s="59"/>
      <c r="M153" s="59"/>
      <c r="N153" s="59"/>
      <c r="O153" s="59"/>
      <c r="P153" s="62"/>
      <c r="Q153" s="62"/>
    </row>
    <row r="154">
      <c r="A154" s="59"/>
      <c r="B154" s="60"/>
      <c r="C154" s="60"/>
      <c r="D154" s="61"/>
      <c r="E154" s="59"/>
      <c r="F154" s="59"/>
      <c r="G154" s="59"/>
      <c r="H154" s="59"/>
      <c r="I154" s="59"/>
      <c r="J154" s="59"/>
      <c r="K154" s="59"/>
      <c r="L154" s="59"/>
      <c r="M154" s="59"/>
      <c r="N154" s="59"/>
      <c r="O154" s="59"/>
      <c r="P154" s="62"/>
      <c r="Q154" s="62"/>
    </row>
    <row r="155">
      <c r="A155" s="59"/>
      <c r="B155" s="60"/>
      <c r="C155" s="60"/>
      <c r="D155" s="61"/>
      <c r="E155" s="59"/>
      <c r="F155" s="59"/>
      <c r="G155" s="59"/>
      <c r="H155" s="59"/>
      <c r="I155" s="59"/>
      <c r="J155" s="59"/>
      <c r="K155" s="59"/>
      <c r="L155" s="59"/>
      <c r="M155" s="59"/>
      <c r="N155" s="59"/>
      <c r="O155" s="59"/>
      <c r="P155" s="62"/>
      <c r="Q155" s="62"/>
    </row>
    <row r="156">
      <c r="A156" s="59"/>
      <c r="B156" s="60"/>
      <c r="C156" s="60"/>
      <c r="D156" s="61"/>
      <c r="E156" s="59"/>
      <c r="F156" s="59"/>
      <c r="G156" s="59"/>
      <c r="H156" s="59"/>
      <c r="I156" s="59"/>
      <c r="J156" s="59"/>
      <c r="K156" s="59"/>
      <c r="L156" s="59"/>
      <c r="M156" s="59"/>
      <c r="N156" s="59"/>
      <c r="O156" s="59"/>
      <c r="P156" s="62"/>
      <c r="Q156" s="62"/>
    </row>
    <row r="157">
      <c r="A157" s="59"/>
      <c r="B157" s="60"/>
      <c r="C157" s="60"/>
      <c r="D157" s="61"/>
      <c r="E157" s="59"/>
      <c r="F157" s="59"/>
      <c r="G157" s="59"/>
      <c r="H157" s="59"/>
      <c r="I157" s="59"/>
      <c r="J157" s="59"/>
      <c r="K157" s="59"/>
      <c r="L157" s="59"/>
      <c r="M157" s="59"/>
      <c r="N157" s="59"/>
      <c r="O157" s="59"/>
      <c r="P157" s="62"/>
      <c r="Q157" s="62"/>
    </row>
    <row r="158">
      <c r="A158" s="59"/>
      <c r="B158" s="60"/>
      <c r="C158" s="60"/>
      <c r="D158" s="61"/>
      <c r="E158" s="59"/>
      <c r="F158" s="59"/>
      <c r="G158" s="59"/>
      <c r="H158" s="59"/>
      <c r="I158" s="59"/>
      <c r="J158" s="59"/>
      <c r="K158" s="59"/>
      <c r="L158" s="59"/>
      <c r="M158" s="59"/>
      <c r="N158" s="59"/>
      <c r="O158" s="59"/>
      <c r="P158" s="62"/>
      <c r="Q158" s="62"/>
    </row>
    <row r="159">
      <c r="A159" s="59"/>
      <c r="B159" s="60"/>
      <c r="C159" s="60"/>
      <c r="D159" s="61"/>
      <c r="E159" s="59"/>
      <c r="F159" s="59"/>
      <c r="G159" s="59"/>
      <c r="H159" s="59"/>
      <c r="I159" s="59"/>
      <c r="J159" s="59"/>
      <c r="K159" s="59"/>
      <c r="L159" s="59"/>
      <c r="M159" s="59"/>
      <c r="N159" s="59"/>
      <c r="O159" s="59"/>
      <c r="P159" s="62"/>
      <c r="Q159" s="62"/>
    </row>
    <row r="160">
      <c r="A160" s="59"/>
      <c r="B160" s="60"/>
      <c r="C160" s="60"/>
      <c r="D160" s="61"/>
      <c r="E160" s="59"/>
      <c r="F160" s="59"/>
      <c r="G160" s="59"/>
      <c r="H160" s="59"/>
      <c r="I160" s="59"/>
      <c r="J160" s="59"/>
      <c r="K160" s="59"/>
      <c r="L160" s="59"/>
      <c r="M160" s="59"/>
      <c r="N160" s="59"/>
      <c r="O160" s="59"/>
      <c r="P160" s="62"/>
      <c r="Q160" s="62"/>
    </row>
    <row r="161">
      <c r="A161" s="59"/>
      <c r="B161" s="60"/>
      <c r="C161" s="60"/>
      <c r="D161" s="61"/>
      <c r="E161" s="59"/>
      <c r="F161" s="59"/>
      <c r="G161" s="59"/>
      <c r="H161" s="59"/>
      <c r="I161" s="59"/>
      <c r="J161" s="59"/>
      <c r="K161" s="59"/>
      <c r="L161" s="59"/>
      <c r="M161" s="59"/>
      <c r="N161" s="59"/>
      <c r="O161" s="59"/>
      <c r="P161" s="62"/>
      <c r="Q161" s="62"/>
    </row>
    <row r="162">
      <c r="A162" s="59"/>
      <c r="B162" s="60"/>
      <c r="C162" s="60"/>
      <c r="D162" s="61"/>
      <c r="E162" s="59"/>
      <c r="F162" s="59"/>
      <c r="G162" s="59"/>
      <c r="H162" s="59"/>
      <c r="I162" s="59"/>
      <c r="J162" s="59"/>
      <c r="K162" s="59"/>
      <c r="L162" s="59"/>
      <c r="M162" s="59"/>
      <c r="N162" s="59"/>
      <c r="O162" s="59"/>
      <c r="P162" s="62"/>
      <c r="Q162" s="62"/>
    </row>
    <row r="163">
      <c r="A163" s="59"/>
      <c r="B163" s="60"/>
      <c r="C163" s="60"/>
      <c r="D163" s="61"/>
      <c r="E163" s="59"/>
      <c r="F163" s="59"/>
      <c r="G163" s="59"/>
      <c r="H163" s="59"/>
      <c r="I163" s="59"/>
      <c r="J163" s="59"/>
      <c r="K163" s="59"/>
      <c r="L163" s="59"/>
      <c r="M163" s="59"/>
      <c r="N163" s="59"/>
      <c r="O163" s="59"/>
      <c r="P163" s="62"/>
      <c r="Q163" s="62"/>
    </row>
    <row r="164">
      <c r="A164" s="59"/>
      <c r="B164" s="60"/>
      <c r="C164" s="60"/>
      <c r="D164" s="61"/>
      <c r="E164" s="59"/>
      <c r="F164" s="59"/>
      <c r="G164" s="59"/>
      <c r="H164" s="59"/>
      <c r="I164" s="59"/>
      <c r="J164" s="59"/>
      <c r="K164" s="59"/>
      <c r="L164" s="59"/>
      <c r="M164" s="59"/>
      <c r="N164" s="59"/>
      <c r="O164" s="59"/>
      <c r="P164" s="62"/>
      <c r="Q164" s="62"/>
    </row>
    <row r="165">
      <c r="A165" s="59"/>
      <c r="B165" s="60"/>
      <c r="C165" s="60"/>
      <c r="D165" s="61"/>
      <c r="E165" s="59"/>
      <c r="F165" s="59"/>
      <c r="G165" s="59"/>
      <c r="H165" s="59"/>
      <c r="I165" s="59"/>
      <c r="J165" s="59"/>
      <c r="K165" s="59"/>
      <c r="L165" s="59"/>
      <c r="M165" s="59"/>
      <c r="N165" s="59"/>
      <c r="O165" s="59"/>
      <c r="P165" s="62"/>
      <c r="Q165" s="62"/>
    </row>
    <row r="166">
      <c r="A166" s="59"/>
      <c r="B166" s="60"/>
      <c r="C166" s="60"/>
      <c r="D166" s="61"/>
      <c r="E166" s="59"/>
      <c r="F166" s="59"/>
      <c r="G166" s="59"/>
      <c r="H166" s="59"/>
      <c r="I166" s="59"/>
      <c r="J166" s="59"/>
      <c r="K166" s="59"/>
      <c r="L166" s="59"/>
      <c r="M166" s="59"/>
      <c r="N166" s="59"/>
      <c r="O166" s="59"/>
      <c r="P166" s="62"/>
      <c r="Q166" s="62"/>
    </row>
    <row r="167">
      <c r="A167" s="59"/>
      <c r="B167" s="60"/>
      <c r="C167" s="60"/>
      <c r="D167" s="61"/>
      <c r="E167" s="59"/>
      <c r="F167" s="59"/>
      <c r="G167" s="59"/>
      <c r="H167" s="59"/>
      <c r="I167" s="59"/>
      <c r="J167" s="59"/>
      <c r="K167" s="59"/>
      <c r="L167" s="59"/>
      <c r="M167" s="59"/>
      <c r="N167" s="59"/>
      <c r="O167" s="59"/>
      <c r="P167" s="62"/>
      <c r="Q167" s="62"/>
    </row>
    <row r="168">
      <c r="A168" s="59"/>
      <c r="B168" s="60"/>
      <c r="C168" s="60"/>
      <c r="D168" s="61"/>
      <c r="E168" s="59"/>
      <c r="F168" s="59"/>
      <c r="G168" s="59"/>
      <c r="H168" s="59"/>
      <c r="I168" s="59"/>
      <c r="J168" s="59"/>
      <c r="K168" s="59"/>
      <c r="L168" s="59"/>
      <c r="M168" s="59"/>
      <c r="N168" s="59"/>
      <c r="O168" s="59"/>
      <c r="P168" s="62"/>
      <c r="Q168" s="62"/>
    </row>
    <row r="169">
      <c r="A169" s="59"/>
      <c r="B169" s="60"/>
      <c r="C169" s="60"/>
      <c r="D169" s="61"/>
      <c r="E169" s="59"/>
      <c r="F169" s="59"/>
      <c r="G169" s="59"/>
      <c r="H169" s="59"/>
      <c r="I169" s="59"/>
      <c r="J169" s="59"/>
      <c r="K169" s="59"/>
      <c r="L169" s="59"/>
      <c r="M169" s="59"/>
      <c r="N169" s="59"/>
      <c r="O169" s="59"/>
      <c r="P169" s="62"/>
      <c r="Q169" s="62"/>
    </row>
    <row r="170">
      <c r="A170" s="59"/>
      <c r="B170" s="60"/>
      <c r="C170" s="60"/>
      <c r="D170" s="61"/>
      <c r="E170" s="59"/>
      <c r="F170" s="59"/>
      <c r="G170" s="59"/>
      <c r="H170" s="59"/>
      <c r="I170" s="59"/>
      <c r="J170" s="59"/>
      <c r="K170" s="59"/>
      <c r="L170" s="59"/>
      <c r="M170" s="59"/>
      <c r="N170" s="59"/>
      <c r="O170" s="59"/>
      <c r="P170" s="62"/>
      <c r="Q170" s="62"/>
    </row>
    <row r="171">
      <c r="A171" s="59"/>
      <c r="B171" s="60"/>
      <c r="C171" s="60"/>
      <c r="D171" s="61"/>
      <c r="E171" s="59"/>
      <c r="F171" s="59"/>
      <c r="G171" s="59"/>
      <c r="H171" s="59"/>
      <c r="I171" s="59"/>
      <c r="J171" s="59"/>
      <c r="K171" s="59"/>
      <c r="L171" s="59"/>
      <c r="M171" s="59"/>
      <c r="N171" s="59"/>
      <c r="O171" s="59"/>
      <c r="P171" s="62"/>
      <c r="Q171" s="62"/>
    </row>
    <row r="172">
      <c r="A172" s="59"/>
      <c r="B172" s="60"/>
      <c r="C172" s="60"/>
      <c r="D172" s="61"/>
      <c r="E172" s="59"/>
      <c r="F172" s="59"/>
      <c r="G172" s="59"/>
      <c r="H172" s="59"/>
      <c r="I172" s="59"/>
      <c r="J172" s="59"/>
      <c r="K172" s="59"/>
      <c r="L172" s="59"/>
      <c r="M172" s="59"/>
      <c r="N172" s="59"/>
      <c r="O172" s="59"/>
      <c r="P172" s="62"/>
      <c r="Q172" s="62"/>
    </row>
    <row r="173">
      <c r="A173" s="59"/>
      <c r="B173" s="60"/>
      <c r="C173" s="60"/>
      <c r="D173" s="61"/>
      <c r="E173" s="59"/>
      <c r="F173" s="59"/>
      <c r="G173" s="59"/>
      <c r="H173" s="59"/>
      <c r="I173" s="59"/>
      <c r="J173" s="59"/>
      <c r="K173" s="59"/>
      <c r="L173" s="59"/>
      <c r="M173" s="59"/>
      <c r="N173" s="59"/>
      <c r="O173" s="59"/>
      <c r="P173" s="62"/>
      <c r="Q173" s="62"/>
    </row>
    <row r="174">
      <c r="A174" s="59"/>
      <c r="B174" s="60"/>
      <c r="C174" s="60"/>
      <c r="D174" s="61"/>
      <c r="E174" s="59"/>
      <c r="F174" s="59"/>
      <c r="G174" s="59"/>
      <c r="H174" s="59"/>
      <c r="I174" s="59"/>
      <c r="J174" s="59"/>
      <c r="K174" s="59"/>
      <c r="L174" s="59"/>
      <c r="M174" s="59"/>
      <c r="N174" s="59"/>
      <c r="O174" s="59"/>
      <c r="P174" s="62"/>
      <c r="Q174" s="62"/>
    </row>
    <row r="175">
      <c r="A175" s="59"/>
      <c r="B175" s="60"/>
      <c r="C175" s="60"/>
      <c r="D175" s="61"/>
      <c r="E175" s="59"/>
      <c r="F175" s="59"/>
      <c r="G175" s="59"/>
      <c r="H175" s="59"/>
      <c r="I175" s="59"/>
      <c r="J175" s="59"/>
      <c r="K175" s="59"/>
      <c r="L175" s="59"/>
      <c r="M175" s="59"/>
      <c r="N175" s="59"/>
      <c r="O175" s="59"/>
      <c r="P175" s="62"/>
      <c r="Q175" s="62"/>
    </row>
    <row r="176">
      <c r="A176" s="59"/>
      <c r="B176" s="60"/>
      <c r="C176" s="60"/>
      <c r="D176" s="61"/>
      <c r="E176" s="59"/>
      <c r="F176" s="59"/>
      <c r="G176" s="59"/>
      <c r="H176" s="59"/>
      <c r="I176" s="59"/>
      <c r="J176" s="59"/>
      <c r="K176" s="59"/>
      <c r="L176" s="59"/>
      <c r="M176" s="59"/>
      <c r="N176" s="59"/>
      <c r="O176" s="59"/>
      <c r="P176" s="62"/>
      <c r="Q176" s="62"/>
    </row>
    <row r="177">
      <c r="A177" s="59"/>
      <c r="B177" s="60"/>
      <c r="C177" s="60"/>
      <c r="D177" s="61"/>
      <c r="E177" s="59"/>
      <c r="F177" s="59"/>
      <c r="G177" s="59"/>
      <c r="H177" s="59"/>
      <c r="I177" s="59"/>
      <c r="J177" s="59"/>
      <c r="K177" s="59"/>
      <c r="L177" s="59"/>
      <c r="M177" s="59"/>
      <c r="N177" s="59"/>
      <c r="O177" s="59"/>
      <c r="P177" s="62"/>
      <c r="Q177" s="62"/>
    </row>
    <row r="178">
      <c r="A178" s="59"/>
      <c r="B178" s="60"/>
      <c r="C178" s="60"/>
      <c r="D178" s="61"/>
      <c r="E178" s="59"/>
      <c r="F178" s="59"/>
      <c r="G178" s="59"/>
      <c r="H178" s="59"/>
      <c r="I178" s="59"/>
      <c r="J178" s="59"/>
      <c r="K178" s="59"/>
      <c r="L178" s="59"/>
      <c r="M178" s="59"/>
      <c r="N178" s="59"/>
      <c r="O178" s="59"/>
      <c r="P178" s="62"/>
      <c r="Q178" s="62"/>
    </row>
    <row r="179">
      <c r="A179" s="59"/>
      <c r="B179" s="60"/>
      <c r="C179" s="60"/>
      <c r="D179" s="61"/>
      <c r="E179" s="59"/>
      <c r="F179" s="59"/>
      <c r="G179" s="59"/>
      <c r="H179" s="59"/>
      <c r="I179" s="59"/>
      <c r="J179" s="59"/>
      <c r="K179" s="59"/>
      <c r="L179" s="59"/>
      <c r="M179" s="59"/>
      <c r="N179" s="59"/>
      <c r="O179" s="59"/>
      <c r="P179" s="62"/>
      <c r="Q179" s="62"/>
    </row>
    <row r="180">
      <c r="A180" s="59"/>
      <c r="B180" s="60"/>
      <c r="C180" s="60"/>
      <c r="D180" s="61"/>
      <c r="E180" s="59"/>
      <c r="F180" s="59"/>
      <c r="G180" s="59"/>
      <c r="H180" s="59"/>
      <c r="I180" s="59"/>
      <c r="J180" s="59"/>
      <c r="K180" s="59"/>
      <c r="L180" s="59"/>
      <c r="M180" s="59"/>
      <c r="N180" s="59"/>
      <c r="O180" s="59"/>
      <c r="P180" s="62"/>
      <c r="Q180" s="62"/>
    </row>
    <row r="181">
      <c r="A181" s="59"/>
      <c r="B181" s="60"/>
      <c r="C181" s="60"/>
      <c r="D181" s="61"/>
      <c r="E181" s="59"/>
      <c r="F181" s="59"/>
      <c r="G181" s="59"/>
      <c r="H181" s="59"/>
      <c r="I181" s="59"/>
      <c r="J181" s="59"/>
      <c r="K181" s="59"/>
      <c r="L181" s="59"/>
      <c r="M181" s="59"/>
      <c r="N181" s="59"/>
      <c r="O181" s="59"/>
      <c r="P181" s="62"/>
      <c r="Q181" s="62"/>
    </row>
    <row r="182">
      <c r="A182" s="59"/>
      <c r="B182" s="60"/>
      <c r="C182" s="60"/>
      <c r="D182" s="61"/>
      <c r="E182" s="59"/>
      <c r="F182" s="59"/>
      <c r="G182" s="59"/>
      <c r="H182" s="59"/>
      <c r="I182" s="59"/>
      <c r="J182" s="59"/>
      <c r="K182" s="59"/>
      <c r="L182" s="59"/>
      <c r="M182" s="59"/>
      <c r="N182" s="59"/>
      <c r="O182" s="59"/>
      <c r="P182" s="62"/>
      <c r="Q182" s="62"/>
    </row>
    <row r="183">
      <c r="A183" s="59"/>
      <c r="B183" s="60"/>
      <c r="C183" s="60"/>
      <c r="D183" s="61"/>
      <c r="E183" s="59"/>
      <c r="F183" s="59"/>
      <c r="G183" s="59"/>
      <c r="H183" s="59"/>
      <c r="I183" s="59"/>
      <c r="J183" s="59"/>
      <c r="K183" s="59"/>
      <c r="L183" s="59"/>
      <c r="M183" s="59"/>
      <c r="N183" s="59"/>
      <c r="O183" s="59"/>
      <c r="P183" s="62"/>
      <c r="Q183" s="62"/>
    </row>
    <row r="184">
      <c r="A184" s="59"/>
      <c r="B184" s="60"/>
      <c r="C184" s="60"/>
      <c r="D184" s="61"/>
      <c r="E184" s="59"/>
      <c r="F184" s="59"/>
      <c r="G184" s="59"/>
      <c r="H184" s="59"/>
      <c r="I184" s="59"/>
      <c r="J184" s="59"/>
      <c r="K184" s="59"/>
      <c r="L184" s="59"/>
      <c r="M184" s="59"/>
      <c r="N184" s="59"/>
      <c r="O184" s="59"/>
      <c r="P184" s="62"/>
      <c r="Q184" s="62"/>
    </row>
    <row r="185">
      <c r="A185" s="59"/>
      <c r="B185" s="60"/>
      <c r="C185" s="60"/>
      <c r="D185" s="61"/>
      <c r="E185" s="59"/>
      <c r="F185" s="59"/>
      <c r="G185" s="59"/>
      <c r="H185" s="59"/>
      <c r="I185" s="59"/>
      <c r="J185" s="59"/>
      <c r="K185" s="59"/>
      <c r="L185" s="59"/>
      <c r="M185" s="59"/>
      <c r="N185" s="59"/>
      <c r="O185" s="59"/>
      <c r="P185" s="62"/>
      <c r="Q185" s="62"/>
    </row>
    <row r="186">
      <c r="A186" s="59"/>
      <c r="B186" s="60"/>
      <c r="C186" s="60"/>
      <c r="D186" s="61"/>
      <c r="E186" s="59"/>
      <c r="F186" s="59"/>
      <c r="G186" s="59"/>
      <c r="H186" s="59"/>
      <c r="I186" s="59"/>
      <c r="J186" s="59"/>
      <c r="K186" s="59"/>
      <c r="L186" s="59"/>
      <c r="M186" s="59"/>
      <c r="N186" s="59"/>
      <c r="O186" s="59"/>
      <c r="P186" s="62"/>
      <c r="Q186" s="62"/>
    </row>
    <row r="187">
      <c r="A187" s="59"/>
      <c r="B187" s="60"/>
      <c r="C187" s="60"/>
      <c r="D187" s="61"/>
      <c r="E187" s="59"/>
      <c r="F187" s="59"/>
      <c r="G187" s="59"/>
      <c r="H187" s="59"/>
      <c r="I187" s="59"/>
      <c r="J187" s="59"/>
      <c r="K187" s="59"/>
      <c r="L187" s="59"/>
      <c r="M187" s="59"/>
      <c r="N187" s="59"/>
      <c r="O187" s="59"/>
      <c r="P187" s="62"/>
      <c r="Q187" s="62"/>
    </row>
    <row r="188">
      <c r="A188" s="59"/>
      <c r="B188" s="60"/>
      <c r="C188" s="60"/>
      <c r="D188" s="61"/>
      <c r="E188" s="59"/>
      <c r="F188" s="59"/>
      <c r="G188" s="59"/>
      <c r="H188" s="59"/>
      <c r="I188" s="59"/>
      <c r="J188" s="59"/>
      <c r="K188" s="59"/>
      <c r="L188" s="59"/>
      <c r="M188" s="59"/>
      <c r="N188" s="59"/>
      <c r="O188" s="59"/>
      <c r="P188" s="62"/>
      <c r="Q188" s="62"/>
    </row>
    <row r="189">
      <c r="A189" s="59"/>
      <c r="B189" s="60"/>
      <c r="C189" s="60"/>
      <c r="D189" s="61"/>
      <c r="E189" s="59"/>
      <c r="F189" s="59"/>
      <c r="G189" s="59"/>
      <c r="H189" s="59"/>
      <c r="I189" s="59"/>
      <c r="J189" s="59"/>
      <c r="K189" s="59"/>
      <c r="L189" s="59"/>
      <c r="M189" s="59"/>
      <c r="N189" s="59"/>
      <c r="O189" s="59"/>
      <c r="P189" s="62"/>
      <c r="Q189" s="62"/>
    </row>
    <row r="190">
      <c r="A190" s="59"/>
      <c r="B190" s="60"/>
      <c r="C190" s="60"/>
      <c r="D190" s="61"/>
      <c r="E190" s="59"/>
      <c r="F190" s="59"/>
      <c r="G190" s="59"/>
      <c r="H190" s="59"/>
      <c r="I190" s="59"/>
      <c r="J190" s="59"/>
      <c r="K190" s="59"/>
      <c r="L190" s="59"/>
      <c r="M190" s="59"/>
      <c r="N190" s="59"/>
      <c r="O190" s="59"/>
      <c r="P190" s="62"/>
      <c r="Q190" s="62"/>
    </row>
    <row r="191">
      <c r="A191" s="59"/>
      <c r="B191" s="60"/>
      <c r="C191" s="60"/>
      <c r="D191" s="61"/>
      <c r="E191" s="59"/>
      <c r="F191" s="59"/>
      <c r="G191" s="59"/>
      <c r="H191" s="59"/>
      <c r="I191" s="59"/>
      <c r="J191" s="59"/>
      <c r="K191" s="59"/>
      <c r="L191" s="59"/>
      <c r="M191" s="59"/>
      <c r="N191" s="59"/>
      <c r="O191" s="59"/>
      <c r="P191" s="62"/>
      <c r="Q191" s="62"/>
    </row>
    <row r="192">
      <c r="A192" s="59"/>
      <c r="B192" s="60"/>
      <c r="C192" s="60"/>
      <c r="D192" s="61"/>
      <c r="E192" s="59"/>
      <c r="F192" s="59"/>
      <c r="G192" s="59"/>
      <c r="H192" s="59"/>
      <c r="I192" s="59"/>
      <c r="J192" s="59"/>
      <c r="K192" s="59"/>
      <c r="L192" s="59"/>
      <c r="M192" s="59"/>
      <c r="N192" s="59"/>
      <c r="O192" s="59"/>
      <c r="P192" s="62"/>
      <c r="Q192" s="62"/>
    </row>
    <row r="193">
      <c r="A193" s="59"/>
      <c r="B193" s="60"/>
      <c r="C193" s="60"/>
      <c r="D193" s="61"/>
      <c r="E193" s="59"/>
      <c r="F193" s="59"/>
      <c r="G193" s="59"/>
      <c r="H193" s="59"/>
      <c r="I193" s="59"/>
      <c r="J193" s="59"/>
      <c r="K193" s="59"/>
      <c r="L193" s="59"/>
      <c r="M193" s="59"/>
      <c r="N193" s="59"/>
      <c r="O193" s="59"/>
      <c r="P193" s="62"/>
      <c r="Q193" s="62"/>
    </row>
    <row r="194">
      <c r="A194" s="59"/>
      <c r="B194" s="60"/>
      <c r="C194" s="60"/>
      <c r="D194" s="61"/>
      <c r="E194" s="59"/>
      <c r="F194" s="59"/>
      <c r="G194" s="59"/>
      <c r="H194" s="59"/>
      <c r="I194" s="59"/>
      <c r="J194" s="59"/>
      <c r="K194" s="59"/>
      <c r="L194" s="59"/>
      <c r="M194" s="59"/>
      <c r="N194" s="59"/>
      <c r="O194" s="59"/>
      <c r="P194" s="62"/>
      <c r="Q194" s="62"/>
    </row>
    <row r="195">
      <c r="A195" s="59"/>
      <c r="B195" s="60"/>
      <c r="C195" s="60"/>
      <c r="D195" s="61"/>
      <c r="E195" s="59"/>
      <c r="F195" s="59"/>
      <c r="G195" s="59"/>
      <c r="H195" s="59"/>
      <c r="I195" s="59"/>
      <c r="J195" s="59"/>
      <c r="K195" s="59"/>
      <c r="L195" s="59"/>
      <c r="M195" s="59"/>
      <c r="N195" s="59"/>
      <c r="O195" s="59"/>
      <c r="P195" s="62"/>
      <c r="Q195" s="62"/>
    </row>
    <row r="196">
      <c r="A196" s="59"/>
      <c r="B196" s="60"/>
      <c r="C196" s="60"/>
      <c r="D196" s="61"/>
      <c r="E196" s="59"/>
      <c r="F196" s="59"/>
      <c r="G196" s="59"/>
      <c r="H196" s="59"/>
      <c r="I196" s="59"/>
      <c r="J196" s="59"/>
      <c r="K196" s="59"/>
      <c r="L196" s="59"/>
      <c r="M196" s="59"/>
      <c r="N196" s="59"/>
      <c r="O196" s="59"/>
      <c r="P196" s="62"/>
      <c r="Q196" s="62"/>
    </row>
    <row r="197">
      <c r="A197" s="59"/>
      <c r="B197" s="60"/>
      <c r="C197" s="60"/>
      <c r="D197" s="61"/>
      <c r="E197" s="59"/>
      <c r="F197" s="59"/>
      <c r="G197" s="59"/>
      <c r="H197" s="59"/>
      <c r="I197" s="59"/>
      <c r="J197" s="59"/>
      <c r="K197" s="59"/>
      <c r="L197" s="59"/>
      <c r="M197" s="59"/>
      <c r="N197" s="59"/>
      <c r="O197" s="59"/>
      <c r="P197" s="62"/>
      <c r="Q197" s="62"/>
    </row>
    <row r="198">
      <c r="A198" s="59"/>
      <c r="B198" s="60"/>
      <c r="C198" s="60"/>
      <c r="D198" s="61"/>
      <c r="E198" s="59"/>
      <c r="F198" s="59"/>
      <c r="G198" s="59"/>
      <c r="H198" s="59"/>
      <c r="I198" s="59"/>
      <c r="J198" s="59"/>
      <c r="K198" s="59"/>
      <c r="L198" s="59"/>
      <c r="M198" s="59"/>
      <c r="N198" s="59"/>
      <c r="O198" s="59"/>
      <c r="P198" s="62"/>
      <c r="Q198" s="62"/>
    </row>
    <row r="199">
      <c r="A199" s="59"/>
      <c r="B199" s="60"/>
      <c r="C199" s="60"/>
      <c r="D199" s="61"/>
      <c r="E199" s="59"/>
      <c r="F199" s="59"/>
      <c r="G199" s="59"/>
      <c r="H199" s="59"/>
      <c r="I199" s="59"/>
      <c r="J199" s="59"/>
      <c r="K199" s="59"/>
      <c r="L199" s="59"/>
      <c r="M199" s="59"/>
      <c r="N199" s="59"/>
      <c r="O199" s="59"/>
      <c r="P199" s="62"/>
      <c r="Q199" s="62"/>
    </row>
    <row r="200">
      <c r="A200" s="59"/>
      <c r="B200" s="60"/>
      <c r="C200" s="60"/>
      <c r="D200" s="61"/>
      <c r="E200" s="59"/>
      <c r="F200" s="59"/>
      <c r="G200" s="59"/>
      <c r="H200" s="59"/>
      <c r="I200" s="59"/>
      <c r="J200" s="59"/>
      <c r="K200" s="59"/>
      <c r="L200" s="59"/>
      <c r="M200" s="59"/>
      <c r="N200" s="59"/>
      <c r="O200" s="59"/>
      <c r="P200" s="62"/>
      <c r="Q200" s="62"/>
    </row>
    <row r="201">
      <c r="A201" s="59"/>
      <c r="B201" s="60"/>
      <c r="C201" s="60"/>
      <c r="D201" s="61"/>
      <c r="E201" s="59"/>
      <c r="F201" s="59"/>
      <c r="G201" s="59"/>
      <c r="H201" s="59"/>
      <c r="I201" s="59"/>
      <c r="J201" s="59"/>
      <c r="K201" s="59"/>
      <c r="L201" s="59"/>
      <c r="M201" s="59"/>
      <c r="N201" s="59"/>
      <c r="O201" s="59"/>
      <c r="P201" s="62"/>
      <c r="Q201" s="62"/>
    </row>
    <row r="202">
      <c r="A202" s="59"/>
      <c r="B202" s="60"/>
      <c r="C202" s="60"/>
      <c r="D202" s="61"/>
      <c r="E202" s="59"/>
      <c r="F202" s="59"/>
      <c r="G202" s="59"/>
      <c r="H202" s="59"/>
      <c r="I202" s="59"/>
      <c r="J202" s="59"/>
      <c r="K202" s="59"/>
      <c r="L202" s="59"/>
      <c r="M202" s="59"/>
      <c r="N202" s="59"/>
      <c r="O202" s="59"/>
      <c r="P202" s="62"/>
      <c r="Q202" s="62"/>
    </row>
    <row r="203">
      <c r="A203" s="59"/>
      <c r="B203" s="60"/>
      <c r="C203" s="60"/>
      <c r="D203" s="61"/>
      <c r="E203" s="59"/>
      <c r="F203" s="59"/>
      <c r="G203" s="59"/>
      <c r="H203" s="59"/>
      <c r="I203" s="59"/>
      <c r="J203" s="59"/>
      <c r="K203" s="59"/>
      <c r="L203" s="59"/>
      <c r="M203" s="59"/>
      <c r="N203" s="59"/>
      <c r="O203" s="59"/>
      <c r="P203" s="62"/>
      <c r="Q203" s="62"/>
    </row>
    <row r="204">
      <c r="A204" s="59"/>
      <c r="B204" s="60"/>
      <c r="C204" s="60"/>
      <c r="D204" s="61"/>
      <c r="E204" s="59"/>
      <c r="F204" s="59"/>
      <c r="G204" s="59"/>
      <c r="H204" s="59"/>
      <c r="I204" s="59"/>
      <c r="J204" s="59"/>
      <c r="K204" s="59"/>
      <c r="L204" s="59"/>
      <c r="M204" s="59"/>
      <c r="N204" s="59"/>
      <c r="O204" s="59"/>
      <c r="P204" s="62"/>
      <c r="Q204" s="62"/>
    </row>
    <row r="205">
      <c r="A205" s="59"/>
      <c r="B205" s="60"/>
      <c r="C205" s="60"/>
      <c r="D205" s="61"/>
      <c r="E205" s="59"/>
      <c r="F205" s="59"/>
      <c r="G205" s="59"/>
      <c r="H205" s="59"/>
      <c r="I205" s="59"/>
      <c r="J205" s="59"/>
      <c r="K205" s="59"/>
      <c r="L205" s="59"/>
      <c r="M205" s="59"/>
      <c r="N205" s="59"/>
      <c r="O205" s="59"/>
      <c r="P205" s="62"/>
      <c r="Q205" s="62"/>
    </row>
    <row r="206">
      <c r="A206" s="59"/>
      <c r="B206" s="60"/>
      <c r="C206" s="60"/>
      <c r="D206" s="61"/>
      <c r="E206" s="59"/>
      <c r="F206" s="59"/>
      <c r="G206" s="59"/>
      <c r="H206" s="59"/>
      <c r="I206" s="59"/>
      <c r="J206" s="59"/>
      <c r="K206" s="59"/>
      <c r="L206" s="59"/>
      <c r="M206" s="59"/>
      <c r="N206" s="59"/>
      <c r="O206" s="59"/>
      <c r="P206" s="62"/>
      <c r="Q206" s="62"/>
    </row>
    <row r="207">
      <c r="A207" s="59"/>
      <c r="B207" s="60"/>
      <c r="C207" s="60"/>
      <c r="D207" s="61"/>
      <c r="E207" s="59"/>
      <c r="F207" s="59"/>
      <c r="G207" s="59"/>
      <c r="H207" s="59"/>
      <c r="I207" s="59"/>
      <c r="J207" s="59"/>
      <c r="K207" s="59"/>
      <c r="L207" s="59"/>
      <c r="M207" s="59"/>
      <c r="N207" s="59"/>
      <c r="O207" s="59"/>
      <c r="P207" s="62"/>
      <c r="Q207" s="62"/>
    </row>
    <row r="208">
      <c r="A208" s="59"/>
      <c r="B208" s="60"/>
      <c r="C208" s="60"/>
      <c r="D208" s="61"/>
      <c r="E208" s="59"/>
      <c r="F208" s="59"/>
      <c r="G208" s="59"/>
      <c r="H208" s="59"/>
      <c r="I208" s="59"/>
      <c r="J208" s="59"/>
      <c r="K208" s="59"/>
      <c r="L208" s="59"/>
      <c r="M208" s="59"/>
      <c r="N208" s="59"/>
      <c r="O208" s="59"/>
      <c r="P208" s="62"/>
      <c r="Q208" s="62"/>
    </row>
    <row r="209">
      <c r="A209" s="59"/>
      <c r="B209" s="60"/>
      <c r="C209" s="60"/>
      <c r="D209" s="61"/>
      <c r="E209" s="59"/>
      <c r="F209" s="59"/>
      <c r="G209" s="59"/>
      <c r="H209" s="59"/>
      <c r="I209" s="59"/>
      <c r="J209" s="59"/>
      <c r="K209" s="59"/>
      <c r="L209" s="59"/>
      <c r="M209" s="59"/>
      <c r="N209" s="59"/>
      <c r="O209" s="59"/>
      <c r="P209" s="62"/>
      <c r="Q209" s="62"/>
    </row>
    <row r="210">
      <c r="A210" s="59"/>
      <c r="B210" s="60"/>
      <c r="C210" s="60"/>
      <c r="D210" s="61"/>
      <c r="E210" s="59"/>
      <c r="F210" s="59"/>
      <c r="G210" s="59"/>
      <c r="H210" s="59"/>
      <c r="I210" s="59"/>
      <c r="J210" s="59"/>
      <c r="K210" s="59"/>
      <c r="L210" s="59"/>
      <c r="M210" s="59"/>
      <c r="N210" s="59"/>
      <c r="O210" s="59"/>
      <c r="P210" s="62"/>
      <c r="Q210" s="62"/>
    </row>
    <row r="211">
      <c r="A211" s="59"/>
      <c r="B211" s="60"/>
      <c r="C211" s="60"/>
      <c r="D211" s="61"/>
      <c r="E211" s="59"/>
      <c r="F211" s="59"/>
      <c r="G211" s="59"/>
      <c r="H211" s="59"/>
      <c r="I211" s="59"/>
      <c r="J211" s="59"/>
      <c r="K211" s="59"/>
      <c r="L211" s="59"/>
      <c r="M211" s="59"/>
      <c r="N211" s="59"/>
      <c r="O211" s="59"/>
      <c r="P211" s="62"/>
      <c r="Q211" s="62"/>
    </row>
    <row r="212">
      <c r="A212" s="59"/>
      <c r="B212" s="60"/>
      <c r="C212" s="60"/>
      <c r="D212" s="61"/>
      <c r="E212" s="59"/>
      <c r="F212" s="59"/>
      <c r="G212" s="59"/>
      <c r="H212" s="59"/>
      <c r="I212" s="59"/>
      <c r="J212" s="59"/>
      <c r="K212" s="59"/>
      <c r="L212" s="59"/>
      <c r="M212" s="59"/>
      <c r="N212" s="59"/>
      <c r="O212" s="59"/>
      <c r="P212" s="62"/>
      <c r="Q212" s="62"/>
    </row>
    <row r="213">
      <c r="A213" s="59"/>
      <c r="B213" s="60"/>
      <c r="C213" s="60"/>
      <c r="D213" s="61"/>
      <c r="E213" s="59"/>
      <c r="F213" s="59"/>
      <c r="G213" s="59"/>
      <c r="H213" s="59"/>
      <c r="I213" s="59"/>
      <c r="J213" s="59"/>
      <c r="K213" s="59"/>
      <c r="L213" s="59"/>
      <c r="M213" s="59"/>
      <c r="N213" s="59"/>
      <c r="O213" s="59"/>
      <c r="P213" s="62"/>
      <c r="Q213" s="62"/>
    </row>
    <row r="214">
      <c r="A214" s="59"/>
      <c r="B214" s="60"/>
      <c r="C214" s="60"/>
      <c r="D214" s="61"/>
      <c r="E214" s="59"/>
      <c r="F214" s="59"/>
      <c r="G214" s="59"/>
      <c r="H214" s="59"/>
      <c r="I214" s="59"/>
      <c r="J214" s="59"/>
      <c r="K214" s="59"/>
      <c r="L214" s="59"/>
      <c r="M214" s="59"/>
      <c r="N214" s="59"/>
      <c r="O214" s="59"/>
      <c r="P214" s="62"/>
      <c r="Q214" s="62"/>
    </row>
    <row r="215">
      <c r="A215" s="59"/>
      <c r="B215" s="60"/>
      <c r="C215" s="60"/>
      <c r="D215" s="61"/>
      <c r="E215" s="59"/>
      <c r="F215" s="59"/>
      <c r="G215" s="59"/>
      <c r="H215" s="59"/>
      <c r="I215" s="59"/>
      <c r="J215" s="59"/>
      <c r="K215" s="59"/>
      <c r="L215" s="59"/>
      <c r="M215" s="59"/>
      <c r="N215" s="59"/>
      <c r="O215" s="59"/>
      <c r="P215" s="62"/>
      <c r="Q215" s="62"/>
    </row>
    <row r="216">
      <c r="A216" s="59"/>
      <c r="B216" s="60"/>
      <c r="C216" s="60"/>
      <c r="D216" s="61"/>
      <c r="E216" s="59"/>
      <c r="F216" s="59"/>
      <c r="G216" s="59"/>
      <c r="H216" s="59"/>
      <c r="I216" s="59"/>
      <c r="J216" s="59"/>
      <c r="K216" s="59"/>
      <c r="L216" s="59"/>
      <c r="M216" s="59"/>
      <c r="N216" s="59"/>
      <c r="O216" s="59"/>
      <c r="P216" s="62"/>
      <c r="Q216" s="62"/>
    </row>
    <row r="217">
      <c r="A217" s="59"/>
      <c r="B217" s="60"/>
      <c r="C217" s="60"/>
      <c r="D217" s="61"/>
      <c r="E217" s="59"/>
      <c r="F217" s="59"/>
      <c r="G217" s="59"/>
      <c r="H217" s="59"/>
      <c r="I217" s="59"/>
      <c r="J217" s="59"/>
      <c r="K217" s="59"/>
      <c r="L217" s="59"/>
      <c r="M217" s="59"/>
      <c r="N217" s="59"/>
      <c r="O217" s="59"/>
      <c r="P217" s="62"/>
      <c r="Q217" s="62"/>
    </row>
    <row r="218">
      <c r="A218" s="59"/>
      <c r="B218" s="60"/>
      <c r="C218" s="60"/>
      <c r="D218" s="61"/>
      <c r="E218" s="59"/>
      <c r="F218" s="59"/>
      <c r="G218" s="59"/>
      <c r="H218" s="59"/>
      <c r="I218" s="59"/>
      <c r="J218" s="59"/>
      <c r="K218" s="59"/>
      <c r="L218" s="59"/>
      <c r="M218" s="59"/>
      <c r="N218" s="59"/>
      <c r="O218" s="59"/>
      <c r="P218" s="62"/>
      <c r="Q218" s="62"/>
    </row>
    <row r="219">
      <c r="A219" s="59"/>
      <c r="B219" s="60"/>
      <c r="C219" s="60"/>
      <c r="D219" s="61"/>
      <c r="E219" s="59"/>
      <c r="F219" s="59"/>
      <c r="G219" s="59"/>
      <c r="H219" s="59"/>
      <c r="I219" s="59"/>
      <c r="J219" s="59"/>
      <c r="K219" s="59"/>
      <c r="L219" s="59"/>
      <c r="M219" s="59"/>
      <c r="N219" s="59"/>
      <c r="O219" s="59"/>
      <c r="P219" s="62"/>
      <c r="Q219" s="62"/>
    </row>
    <row r="220">
      <c r="A220" s="59"/>
      <c r="B220" s="60"/>
      <c r="C220" s="60"/>
      <c r="D220" s="61"/>
      <c r="E220" s="59"/>
      <c r="F220" s="59"/>
      <c r="G220" s="59"/>
      <c r="H220" s="59"/>
      <c r="I220" s="59"/>
      <c r="J220" s="59"/>
      <c r="K220" s="59"/>
      <c r="L220" s="59"/>
      <c r="M220" s="59"/>
      <c r="N220" s="59"/>
      <c r="O220" s="59"/>
      <c r="P220" s="62"/>
      <c r="Q220" s="62"/>
    </row>
    <row r="221">
      <c r="A221" s="59"/>
      <c r="B221" s="60"/>
      <c r="C221" s="60"/>
      <c r="D221" s="61"/>
      <c r="E221" s="59"/>
      <c r="F221" s="59"/>
      <c r="G221" s="59"/>
      <c r="H221" s="59"/>
      <c r="I221" s="59"/>
      <c r="J221" s="59"/>
      <c r="K221" s="59"/>
      <c r="L221" s="59"/>
      <c r="M221" s="59"/>
      <c r="N221" s="59"/>
      <c r="O221" s="59"/>
      <c r="P221" s="62"/>
      <c r="Q221" s="62"/>
    </row>
    <row r="222">
      <c r="A222" s="59"/>
      <c r="B222" s="60"/>
      <c r="C222" s="60"/>
      <c r="D222" s="61"/>
      <c r="E222" s="59"/>
      <c r="F222" s="59"/>
      <c r="G222" s="59"/>
      <c r="H222" s="59"/>
      <c r="I222" s="59"/>
      <c r="J222" s="59"/>
      <c r="K222" s="59"/>
      <c r="L222" s="59"/>
      <c r="M222" s="59"/>
      <c r="N222" s="59"/>
      <c r="O222" s="59"/>
      <c r="P222" s="62"/>
      <c r="Q222" s="62"/>
    </row>
    <row r="223">
      <c r="A223" s="59"/>
      <c r="B223" s="60"/>
      <c r="C223" s="60"/>
      <c r="D223" s="61"/>
      <c r="E223" s="59"/>
      <c r="F223" s="59"/>
      <c r="G223" s="59"/>
      <c r="H223" s="59"/>
      <c r="I223" s="59"/>
      <c r="J223" s="59"/>
      <c r="K223" s="59"/>
      <c r="L223" s="59"/>
      <c r="M223" s="59"/>
      <c r="N223" s="59"/>
      <c r="O223" s="59"/>
      <c r="P223" s="62"/>
      <c r="Q223" s="62"/>
    </row>
    <row r="224">
      <c r="A224" s="59"/>
      <c r="B224" s="60"/>
      <c r="C224" s="60"/>
      <c r="D224" s="61"/>
      <c r="E224" s="59"/>
      <c r="F224" s="59"/>
      <c r="G224" s="59"/>
      <c r="H224" s="59"/>
      <c r="I224" s="59"/>
      <c r="J224" s="59"/>
      <c r="K224" s="59"/>
      <c r="L224" s="59"/>
      <c r="M224" s="59"/>
      <c r="N224" s="59"/>
      <c r="O224" s="59"/>
      <c r="P224" s="62"/>
      <c r="Q224" s="62"/>
    </row>
    <row r="225">
      <c r="A225" s="59"/>
      <c r="B225" s="60"/>
      <c r="C225" s="60"/>
      <c r="D225" s="61"/>
      <c r="E225" s="59"/>
      <c r="F225" s="59"/>
      <c r="G225" s="59"/>
      <c r="H225" s="59"/>
      <c r="I225" s="59"/>
      <c r="J225" s="59"/>
      <c r="K225" s="59"/>
      <c r="L225" s="59"/>
      <c r="M225" s="59"/>
      <c r="N225" s="59"/>
      <c r="O225" s="59"/>
      <c r="P225" s="62"/>
      <c r="Q225" s="62"/>
    </row>
    <row r="226">
      <c r="A226" s="59"/>
      <c r="B226" s="60"/>
      <c r="C226" s="60"/>
      <c r="D226" s="61"/>
      <c r="E226" s="59"/>
      <c r="F226" s="59"/>
      <c r="G226" s="59"/>
      <c r="H226" s="59"/>
      <c r="I226" s="59"/>
      <c r="J226" s="59"/>
      <c r="K226" s="59"/>
      <c r="L226" s="59"/>
      <c r="M226" s="59"/>
      <c r="N226" s="59"/>
      <c r="O226" s="59"/>
      <c r="P226" s="62"/>
      <c r="Q226" s="62"/>
    </row>
    <row r="227">
      <c r="A227" s="59"/>
      <c r="B227" s="60"/>
      <c r="C227" s="60"/>
      <c r="D227" s="61"/>
      <c r="E227" s="59"/>
      <c r="F227" s="59"/>
      <c r="G227" s="59"/>
      <c r="H227" s="59"/>
      <c r="I227" s="59"/>
      <c r="J227" s="59"/>
      <c r="K227" s="59"/>
      <c r="L227" s="59"/>
      <c r="M227" s="59"/>
      <c r="N227" s="59"/>
      <c r="O227" s="59"/>
      <c r="P227" s="62"/>
      <c r="Q227" s="62"/>
    </row>
    <row r="228">
      <c r="A228" s="59"/>
      <c r="B228" s="60"/>
      <c r="C228" s="60"/>
      <c r="D228" s="61"/>
      <c r="E228" s="59"/>
      <c r="F228" s="59"/>
      <c r="G228" s="59"/>
      <c r="H228" s="59"/>
      <c r="I228" s="59"/>
      <c r="J228" s="59"/>
      <c r="K228" s="59"/>
      <c r="L228" s="59"/>
      <c r="M228" s="59"/>
      <c r="N228" s="59"/>
      <c r="O228" s="59"/>
      <c r="P228" s="62"/>
      <c r="Q228" s="62"/>
    </row>
    <row r="229">
      <c r="A229" s="59"/>
      <c r="B229" s="60"/>
      <c r="C229" s="60"/>
      <c r="D229" s="61"/>
      <c r="E229" s="59"/>
      <c r="F229" s="59"/>
      <c r="G229" s="59"/>
      <c r="H229" s="59"/>
      <c r="I229" s="59"/>
      <c r="J229" s="59"/>
      <c r="K229" s="59"/>
      <c r="L229" s="59"/>
      <c r="M229" s="59"/>
      <c r="N229" s="59"/>
      <c r="O229" s="59"/>
      <c r="P229" s="62"/>
      <c r="Q229" s="62"/>
    </row>
    <row r="230">
      <c r="A230" s="59"/>
      <c r="B230" s="60"/>
      <c r="C230" s="60"/>
      <c r="D230" s="61"/>
      <c r="E230" s="59"/>
      <c r="F230" s="59"/>
      <c r="G230" s="59"/>
      <c r="H230" s="59"/>
      <c r="I230" s="59"/>
      <c r="J230" s="59"/>
      <c r="K230" s="59"/>
      <c r="L230" s="59"/>
      <c r="M230" s="59"/>
      <c r="N230" s="59"/>
      <c r="O230" s="59"/>
      <c r="P230" s="62"/>
      <c r="Q230" s="62"/>
    </row>
    <row r="231">
      <c r="A231" s="59"/>
      <c r="B231" s="60"/>
      <c r="C231" s="60"/>
      <c r="D231" s="61"/>
      <c r="E231" s="59"/>
      <c r="F231" s="59"/>
      <c r="G231" s="59"/>
      <c r="H231" s="59"/>
      <c r="I231" s="59"/>
      <c r="J231" s="59"/>
      <c r="K231" s="59"/>
      <c r="L231" s="59"/>
      <c r="M231" s="59"/>
      <c r="N231" s="59"/>
      <c r="O231" s="59"/>
      <c r="P231" s="62"/>
      <c r="Q231" s="62"/>
    </row>
    <row r="232">
      <c r="A232" s="59"/>
      <c r="B232" s="60"/>
      <c r="C232" s="60"/>
      <c r="D232" s="61"/>
      <c r="E232" s="59"/>
      <c r="F232" s="59"/>
      <c r="G232" s="59"/>
      <c r="H232" s="59"/>
      <c r="I232" s="59"/>
      <c r="J232" s="59"/>
      <c r="K232" s="59"/>
      <c r="L232" s="59"/>
      <c r="M232" s="59"/>
      <c r="N232" s="59"/>
      <c r="O232" s="59"/>
      <c r="P232" s="62"/>
      <c r="Q232" s="62"/>
    </row>
    <row r="233">
      <c r="A233" s="59"/>
      <c r="B233" s="60"/>
      <c r="C233" s="60"/>
      <c r="D233" s="61"/>
      <c r="E233" s="59"/>
      <c r="F233" s="59"/>
      <c r="G233" s="59"/>
      <c r="H233" s="59"/>
      <c r="I233" s="59"/>
      <c r="J233" s="59"/>
      <c r="K233" s="59"/>
      <c r="L233" s="59"/>
      <c r="M233" s="59"/>
      <c r="N233" s="59"/>
      <c r="O233" s="59"/>
      <c r="P233" s="62"/>
      <c r="Q233" s="62"/>
    </row>
    <row r="234">
      <c r="A234" s="59"/>
      <c r="B234" s="60"/>
      <c r="C234" s="60"/>
      <c r="D234" s="61"/>
      <c r="E234" s="59"/>
      <c r="F234" s="59"/>
      <c r="G234" s="59"/>
      <c r="H234" s="59"/>
      <c r="I234" s="59"/>
      <c r="J234" s="59"/>
      <c r="K234" s="59"/>
      <c r="L234" s="59"/>
      <c r="M234" s="59"/>
      <c r="N234" s="59"/>
      <c r="O234" s="59"/>
      <c r="P234" s="62"/>
      <c r="Q234" s="62"/>
    </row>
    <row r="235">
      <c r="A235" s="59"/>
      <c r="B235" s="60"/>
      <c r="C235" s="60"/>
      <c r="D235" s="61"/>
      <c r="E235" s="59"/>
      <c r="F235" s="59"/>
      <c r="G235" s="59"/>
      <c r="H235" s="59"/>
      <c r="I235" s="59"/>
      <c r="J235" s="59"/>
      <c r="K235" s="59"/>
      <c r="L235" s="59"/>
      <c r="M235" s="59"/>
      <c r="N235" s="59"/>
      <c r="O235" s="59"/>
      <c r="P235" s="62"/>
      <c r="Q235" s="62"/>
    </row>
    <row r="236">
      <c r="A236" s="59"/>
      <c r="B236" s="60"/>
      <c r="C236" s="60"/>
      <c r="D236" s="61"/>
      <c r="E236" s="59"/>
      <c r="F236" s="59"/>
      <c r="G236" s="59"/>
      <c r="H236" s="59"/>
      <c r="I236" s="59"/>
      <c r="J236" s="59"/>
      <c r="K236" s="59"/>
      <c r="L236" s="59"/>
      <c r="M236" s="59"/>
      <c r="N236" s="59"/>
      <c r="O236" s="59"/>
      <c r="P236" s="62"/>
      <c r="Q236" s="62"/>
    </row>
    <row r="237">
      <c r="A237" s="59"/>
      <c r="B237" s="60"/>
      <c r="C237" s="60"/>
      <c r="D237" s="61"/>
      <c r="E237" s="59"/>
      <c r="F237" s="59"/>
      <c r="G237" s="59"/>
      <c r="H237" s="59"/>
      <c r="I237" s="59"/>
      <c r="J237" s="59"/>
      <c r="K237" s="59"/>
      <c r="L237" s="59"/>
      <c r="M237" s="59"/>
      <c r="N237" s="59"/>
      <c r="O237" s="59"/>
      <c r="P237" s="62"/>
      <c r="Q237" s="62"/>
    </row>
    <row r="238">
      <c r="A238" s="59"/>
      <c r="B238" s="60"/>
      <c r="C238" s="60"/>
      <c r="D238" s="61"/>
      <c r="E238" s="59"/>
      <c r="F238" s="59"/>
      <c r="G238" s="59"/>
      <c r="H238" s="59"/>
      <c r="I238" s="59"/>
      <c r="J238" s="59"/>
      <c r="K238" s="59"/>
      <c r="L238" s="59"/>
      <c r="M238" s="59"/>
      <c r="N238" s="59"/>
      <c r="O238" s="59"/>
      <c r="P238" s="62"/>
      <c r="Q238" s="62"/>
    </row>
    <row r="239">
      <c r="A239" s="59"/>
      <c r="B239" s="60"/>
      <c r="C239" s="60"/>
      <c r="D239" s="61"/>
      <c r="E239" s="59"/>
      <c r="F239" s="59"/>
      <c r="G239" s="59"/>
      <c r="H239" s="59"/>
      <c r="I239" s="59"/>
      <c r="J239" s="59"/>
      <c r="K239" s="59"/>
      <c r="L239" s="59"/>
      <c r="M239" s="59"/>
      <c r="N239" s="59"/>
      <c r="O239" s="59"/>
      <c r="P239" s="62"/>
      <c r="Q239" s="62"/>
    </row>
    <row r="240">
      <c r="A240" s="59"/>
      <c r="B240" s="60"/>
      <c r="C240" s="60"/>
      <c r="D240" s="61"/>
      <c r="E240" s="59"/>
      <c r="F240" s="59"/>
      <c r="G240" s="59"/>
      <c r="H240" s="59"/>
      <c r="I240" s="59"/>
      <c r="J240" s="59"/>
      <c r="K240" s="59"/>
      <c r="L240" s="59"/>
      <c r="M240" s="59"/>
      <c r="N240" s="59"/>
      <c r="O240" s="59"/>
      <c r="P240" s="62"/>
      <c r="Q240" s="62"/>
    </row>
    <row r="241">
      <c r="A241" s="59"/>
      <c r="B241" s="60"/>
      <c r="C241" s="60"/>
      <c r="D241" s="61"/>
      <c r="E241" s="59"/>
      <c r="F241" s="59"/>
      <c r="G241" s="59"/>
      <c r="H241" s="59"/>
      <c r="I241" s="59"/>
      <c r="J241" s="59"/>
      <c r="K241" s="59"/>
      <c r="L241" s="59"/>
      <c r="M241" s="59"/>
      <c r="N241" s="59"/>
      <c r="O241" s="59"/>
      <c r="P241" s="62"/>
      <c r="Q241" s="62"/>
    </row>
    <row r="242">
      <c r="A242" s="59"/>
      <c r="B242" s="60"/>
      <c r="C242" s="60"/>
      <c r="D242" s="61"/>
      <c r="E242" s="59"/>
      <c r="F242" s="59"/>
      <c r="G242" s="59"/>
      <c r="H242" s="59"/>
      <c r="I242" s="59"/>
      <c r="J242" s="59"/>
      <c r="K242" s="59"/>
      <c r="L242" s="59"/>
      <c r="M242" s="59"/>
      <c r="N242" s="59"/>
      <c r="O242" s="59"/>
      <c r="P242" s="62"/>
      <c r="Q242" s="62"/>
    </row>
    <row r="243">
      <c r="A243" s="59"/>
      <c r="B243" s="60"/>
      <c r="C243" s="60"/>
      <c r="D243" s="61"/>
      <c r="E243" s="59"/>
      <c r="F243" s="59"/>
      <c r="G243" s="59"/>
      <c r="H243" s="59"/>
      <c r="I243" s="59"/>
      <c r="J243" s="59"/>
      <c r="K243" s="59"/>
      <c r="L243" s="59"/>
      <c r="M243" s="59"/>
      <c r="N243" s="59"/>
      <c r="O243" s="59"/>
      <c r="P243" s="62"/>
      <c r="Q243" s="62"/>
    </row>
    <row r="244">
      <c r="A244" s="59"/>
      <c r="B244" s="60"/>
      <c r="C244" s="60"/>
      <c r="D244" s="61"/>
      <c r="E244" s="59"/>
      <c r="F244" s="59"/>
      <c r="G244" s="59"/>
      <c r="H244" s="59"/>
      <c r="I244" s="59"/>
      <c r="J244" s="59"/>
      <c r="K244" s="59"/>
      <c r="L244" s="59"/>
      <c r="M244" s="59"/>
      <c r="N244" s="59"/>
      <c r="O244" s="59"/>
      <c r="P244" s="62"/>
      <c r="Q244" s="62"/>
    </row>
    <row r="245">
      <c r="A245" s="59"/>
      <c r="B245" s="60"/>
      <c r="C245" s="60"/>
      <c r="D245" s="61"/>
      <c r="E245" s="59"/>
      <c r="F245" s="59"/>
      <c r="G245" s="59"/>
      <c r="H245" s="59"/>
      <c r="I245" s="59"/>
      <c r="J245" s="59"/>
      <c r="K245" s="59"/>
      <c r="L245" s="59"/>
      <c r="M245" s="59"/>
      <c r="N245" s="59"/>
      <c r="O245" s="59"/>
      <c r="P245" s="62"/>
      <c r="Q245" s="62"/>
    </row>
    <row r="246">
      <c r="A246" s="59"/>
      <c r="B246" s="60"/>
      <c r="C246" s="60"/>
      <c r="D246" s="61"/>
      <c r="E246" s="59"/>
      <c r="F246" s="59"/>
      <c r="G246" s="59"/>
      <c r="H246" s="59"/>
      <c r="I246" s="59"/>
      <c r="J246" s="59"/>
      <c r="K246" s="59"/>
      <c r="L246" s="59"/>
      <c r="M246" s="59"/>
      <c r="N246" s="59"/>
      <c r="O246" s="59"/>
      <c r="P246" s="62"/>
      <c r="Q246" s="62"/>
    </row>
    <row r="247">
      <c r="A247" s="59"/>
      <c r="B247" s="60"/>
      <c r="C247" s="60"/>
      <c r="D247" s="61"/>
      <c r="E247" s="59"/>
      <c r="F247" s="59"/>
      <c r="G247" s="59"/>
      <c r="H247" s="59"/>
      <c r="I247" s="59"/>
      <c r="J247" s="59"/>
      <c r="K247" s="59"/>
      <c r="L247" s="59"/>
      <c r="M247" s="59"/>
      <c r="N247" s="59"/>
      <c r="O247" s="59"/>
      <c r="P247" s="62"/>
      <c r="Q247" s="62"/>
    </row>
    <row r="248">
      <c r="A248" s="59"/>
      <c r="B248" s="60"/>
      <c r="C248" s="60"/>
      <c r="D248" s="61"/>
      <c r="E248" s="59"/>
      <c r="F248" s="59"/>
      <c r="G248" s="59"/>
      <c r="H248" s="59"/>
      <c r="I248" s="59"/>
      <c r="J248" s="59"/>
      <c r="K248" s="59"/>
      <c r="L248" s="59"/>
      <c r="M248" s="59"/>
      <c r="N248" s="59"/>
      <c r="O248" s="59"/>
      <c r="P248" s="62"/>
      <c r="Q248" s="62"/>
    </row>
    <row r="249">
      <c r="A249" s="59"/>
      <c r="B249" s="60"/>
      <c r="C249" s="60"/>
      <c r="D249" s="61"/>
      <c r="E249" s="59"/>
      <c r="F249" s="59"/>
      <c r="G249" s="59"/>
      <c r="H249" s="59"/>
      <c r="I249" s="59"/>
      <c r="J249" s="59"/>
      <c r="K249" s="59"/>
      <c r="L249" s="59"/>
      <c r="M249" s="59"/>
      <c r="N249" s="59"/>
      <c r="O249" s="59"/>
      <c r="P249" s="62"/>
      <c r="Q249" s="62"/>
    </row>
    <row r="250">
      <c r="A250" s="59"/>
      <c r="B250" s="60"/>
      <c r="C250" s="60"/>
      <c r="D250" s="61"/>
      <c r="E250" s="59"/>
      <c r="F250" s="59"/>
      <c r="G250" s="59"/>
      <c r="H250" s="59"/>
      <c r="I250" s="59"/>
      <c r="J250" s="59"/>
      <c r="K250" s="59"/>
      <c r="L250" s="59"/>
      <c r="M250" s="59"/>
      <c r="N250" s="59"/>
      <c r="O250" s="59"/>
      <c r="P250" s="62"/>
      <c r="Q250" s="62"/>
    </row>
    <row r="251">
      <c r="A251" s="59"/>
      <c r="B251" s="60"/>
      <c r="C251" s="60"/>
      <c r="D251" s="61"/>
      <c r="E251" s="59"/>
      <c r="F251" s="59"/>
      <c r="G251" s="59"/>
      <c r="H251" s="59"/>
      <c r="I251" s="59"/>
      <c r="J251" s="59"/>
      <c r="K251" s="59"/>
      <c r="L251" s="59"/>
      <c r="M251" s="59"/>
      <c r="N251" s="59"/>
      <c r="O251" s="59"/>
      <c r="P251" s="62"/>
      <c r="Q251" s="62"/>
    </row>
    <row r="252">
      <c r="A252" s="59"/>
      <c r="B252" s="60"/>
      <c r="C252" s="60"/>
      <c r="D252" s="61"/>
      <c r="E252" s="59"/>
      <c r="F252" s="59"/>
      <c r="G252" s="59"/>
      <c r="H252" s="59"/>
      <c r="I252" s="59"/>
      <c r="J252" s="59"/>
      <c r="K252" s="59"/>
      <c r="L252" s="59"/>
      <c r="M252" s="59"/>
      <c r="N252" s="59"/>
      <c r="O252" s="59"/>
      <c r="P252" s="62"/>
      <c r="Q252" s="62"/>
    </row>
    <row r="253">
      <c r="A253" s="59"/>
      <c r="B253" s="60"/>
      <c r="C253" s="60"/>
      <c r="D253" s="61"/>
      <c r="E253" s="59"/>
      <c r="F253" s="59"/>
      <c r="G253" s="59"/>
      <c r="H253" s="59"/>
      <c r="I253" s="59"/>
      <c r="J253" s="59"/>
      <c r="K253" s="59"/>
      <c r="L253" s="59"/>
      <c r="M253" s="59"/>
      <c r="N253" s="59"/>
      <c r="O253" s="59"/>
      <c r="P253" s="62"/>
      <c r="Q253" s="62"/>
    </row>
    <row r="254">
      <c r="A254" s="59"/>
      <c r="B254" s="60"/>
      <c r="C254" s="60"/>
      <c r="D254" s="61"/>
      <c r="E254" s="59"/>
      <c r="F254" s="59"/>
      <c r="G254" s="59"/>
      <c r="H254" s="59"/>
      <c r="I254" s="59"/>
      <c r="J254" s="59"/>
      <c r="K254" s="59"/>
      <c r="L254" s="59"/>
      <c r="M254" s="59"/>
      <c r="N254" s="59"/>
      <c r="O254" s="59"/>
      <c r="P254" s="62"/>
      <c r="Q254" s="62"/>
    </row>
    <row r="255">
      <c r="A255" s="59"/>
      <c r="B255" s="60"/>
      <c r="C255" s="60"/>
      <c r="D255" s="61"/>
      <c r="E255" s="59"/>
      <c r="F255" s="59"/>
      <c r="G255" s="59"/>
      <c r="H255" s="59"/>
      <c r="I255" s="59"/>
      <c r="J255" s="59"/>
      <c r="K255" s="59"/>
      <c r="L255" s="59"/>
      <c r="M255" s="59"/>
      <c r="N255" s="59"/>
      <c r="O255" s="59"/>
      <c r="P255" s="62"/>
      <c r="Q255" s="62"/>
    </row>
    <row r="256">
      <c r="A256" s="59"/>
      <c r="B256" s="60"/>
      <c r="C256" s="60"/>
      <c r="D256" s="61"/>
      <c r="E256" s="59"/>
      <c r="F256" s="59"/>
      <c r="G256" s="59"/>
      <c r="H256" s="59"/>
      <c r="I256" s="59"/>
      <c r="J256" s="59"/>
      <c r="K256" s="59"/>
      <c r="L256" s="59"/>
      <c r="M256" s="59"/>
      <c r="N256" s="59"/>
      <c r="O256" s="59"/>
      <c r="P256" s="62"/>
      <c r="Q256" s="62"/>
    </row>
    <row r="257">
      <c r="A257" s="59"/>
      <c r="B257" s="60"/>
      <c r="C257" s="60"/>
      <c r="D257" s="61"/>
      <c r="E257" s="59"/>
      <c r="F257" s="59"/>
      <c r="G257" s="59"/>
      <c r="H257" s="59"/>
      <c r="I257" s="59"/>
      <c r="J257" s="59"/>
      <c r="K257" s="59"/>
      <c r="L257" s="59"/>
      <c r="M257" s="59"/>
      <c r="N257" s="59"/>
      <c r="O257" s="59"/>
      <c r="P257" s="62"/>
      <c r="Q257" s="62"/>
    </row>
    <row r="258">
      <c r="A258" s="59"/>
      <c r="B258" s="60"/>
      <c r="C258" s="60"/>
      <c r="D258" s="61"/>
      <c r="E258" s="59"/>
      <c r="F258" s="59"/>
      <c r="G258" s="59"/>
      <c r="H258" s="59"/>
      <c r="I258" s="59"/>
      <c r="J258" s="59"/>
      <c r="K258" s="59"/>
      <c r="L258" s="59"/>
      <c r="M258" s="59"/>
      <c r="N258" s="59"/>
      <c r="O258" s="59"/>
      <c r="P258" s="62"/>
      <c r="Q258" s="62"/>
    </row>
    <row r="259">
      <c r="A259" s="59"/>
      <c r="B259" s="60"/>
      <c r="C259" s="60"/>
      <c r="D259" s="61"/>
      <c r="E259" s="59"/>
      <c r="F259" s="59"/>
      <c r="G259" s="59"/>
      <c r="H259" s="59"/>
      <c r="I259" s="59"/>
      <c r="J259" s="59"/>
      <c r="K259" s="59"/>
      <c r="L259" s="59"/>
      <c r="M259" s="59"/>
      <c r="N259" s="59"/>
      <c r="O259" s="59"/>
      <c r="P259" s="62"/>
      <c r="Q259" s="62"/>
    </row>
    <row r="260">
      <c r="A260" s="59"/>
      <c r="B260" s="60"/>
      <c r="C260" s="60"/>
      <c r="D260" s="61"/>
      <c r="E260" s="59"/>
      <c r="F260" s="59"/>
      <c r="G260" s="59"/>
      <c r="H260" s="59"/>
      <c r="I260" s="59"/>
      <c r="J260" s="59"/>
      <c r="K260" s="59"/>
      <c r="L260" s="59"/>
      <c r="M260" s="59"/>
      <c r="N260" s="59"/>
      <c r="O260" s="59"/>
      <c r="P260" s="62"/>
      <c r="Q260" s="62"/>
    </row>
    <row r="261">
      <c r="A261" s="59"/>
      <c r="B261" s="60"/>
      <c r="C261" s="60"/>
      <c r="D261" s="61"/>
      <c r="E261" s="59"/>
      <c r="F261" s="59"/>
      <c r="G261" s="59"/>
      <c r="H261" s="59"/>
      <c r="I261" s="59"/>
      <c r="J261" s="59"/>
      <c r="K261" s="59"/>
      <c r="L261" s="59"/>
      <c r="M261" s="59"/>
      <c r="N261" s="59"/>
      <c r="O261" s="59"/>
      <c r="P261" s="62"/>
      <c r="Q261" s="62"/>
    </row>
    <row r="262">
      <c r="A262" s="59"/>
      <c r="B262" s="60"/>
      <c r="C262" s="60"/>
      <c r="D262" s="61"/>
      <c r="E262" s="59"/>
      <c r="F262" s="59"/>
      <c r="G262" s="59"/>
      <c r="H262" s="59"/>
      <c r="I262" s="59"/>
      <c r="J262" s="59"/>
      <c r="K262" s="59"/>
      <c r="L262" s="59"/>
      <c r="M262" s="59"/>
      <c r="N262" s="59"/>
      <c r="O262" s="59"/>
      <c r="P262" s="62"/>
      <c r="Q262" s="62"/>
    </row>
    <row r="263">
      <c r="A263" s="59"/>
      <c r="B263" s="60"/>
      <c r="C263" s="60"/>
      <c r="D263" s="61"/>
      <c r="E263" s="59"/>
      <c r="F263" s="59"/>
      <c r="G263" s="59"/>
      <c r="H263" s="59"/>
      <c r="I263" s="59"/>
      <c r="J263" s="59"/>
      <c r="K263" s="59"/>
      <c r="L263" s="59"/>
      <c r="M263" s="59"/>
      <c r="N263" s="59"/>
      <c r="O263" s="59"/>
      <c r="P263" s="62"/>
      <c r="Q263" s="62"/>
    </row>
    <row r="264">
      <c r="A264" s="59"/>
      <c r="B264" s="60"/>
      <c r="C264" s="60"/>
      <c r="D264" s="61"/>
      <c r="E264" s="59"/>
      <c r="F264" s="59"/>
      <c r="G264" s="59"/>
      <c r="H264" s="59"/>
      <c r="I264" s="59"/>
      <c r="J264" s="59"/>
      <c r="K264" s="59"/>
      <c r="L264" s="59"/>
      <c r="M264" s="59"/>
      <c r="N264" s="59"/>
      <c r="O264" s="59"/>
      <c r="P264" s="62"/>
      <c r="Q264" s="62"/>
    </row>
    <row r="265">
      <c r="A265" s="59"/>
      <c r="B265" s="60"/>
      <c r="C265" s="60"/>
      <c r="D265" s="61"/>
      <c r="E265" s="59"/>
      <c r="F265" s="59"/>
      <c r="G265" s="59"/>
      <c r="H265" s="59"/>
      <c r="I265" s="59"/>
      <c r="J265" s="59"/>
      <c r="K265" s="59"/>
      <c r="L265" s="59"/>
      <c r="M265" s="59"/>
      <c r="N265" s="59"/>
      <c r="O265" s="59"/>
      <c r="P265" s="62"/>
      <c r="Q265" s="62"/>
    </row>
    <row r="266">
      <c r="A266" s="59"/>
      <c r="B266" s="60"/>
      <c r="C266" s="60"/>
      <c r="D266" s="61"/>
      <c r="E266" s="59"/>
      <c r="F266" s="59"/>
      <c r="G266" s="59"/>
      <c r="H266" s="59"/>
      <c r="I266" s="59"/>
      <c r="J266" s="59"/>
      <c r="K266" s="59"/>
      <c r="L266" s="59"/>
      <c r="M266" s="59"/>
      <c r="N266" s="59"/>
      <c r="O266" s="59"/>
      <c r="P266" s="62"/>
      <c r="Q266" s="62"/>
    </row>
    <row r="267">
      <c r="A267" s="59"/>
      <c r="B267" s="60"/>
      <c r="C267" s="60"/>
      <c r="D267" s="61"/>
      <c r="E267" s="59"/>
      <c r="F267" s="59"/>
      <c r="G267" s="59"/>
      <c r="H267" s="59"/>
      <c r="I267" s="59"/>
      <c r="J267" s="59"/>
      <c r="K267" s="59"/>
      <c r="L267" s="59"/>
      <c r="M267" s="59"/>
      <c r="N267" s="59"/>
      <c r="O267" s="59"/>
      <c r="P267" s="62"/>
      <c r="Q267" s="62"/>
    </row>
    <row r="268">
      <c r="A268" s="59"/>
      <c r="B268" s="60"/>
      <c r="C268" s="60"/>
      <c r="D268" s="61"/>
      <c r="E268" s="59"/>
      <c r="F268" s="59"/>
      <c r="G268" s="59"/>
      <c r="H268" s="59"/>
      <c r="I268" s="59"/>
      <c r="J268" s="59"/>
      <c r="K268" s="59"/>
      <c r="L268" s="59"/>
      <c r="M268" s="59"/>
      <c r="N268" s="59"/>
      <c r="O268" s="59"/>
      <c r="P268" s="62"/>
      <c r="Q268" s="62"/>
    </row>
    <row r="269">
      <c r="A269" s="59"/>
      <c r="B269" s="60"/>
      <c r="C269" s="60"/>
      <c r="D269" s="61"/>
      <c r="E269" s="59"/>
      <c r="F269" s="59"/>
      <c r="G269" s="59"/>
      <c r="H269" s="59"/>
      <c r="I269" s="59"/>
      <c r="J269" s="59"/>
      <c r="K269" s="59"/>
      <c r="L269" s="59"/>
      <c r="M269" s="59"/>
      <c r="N269" s="59"/>
      <c r="O269" s="59"/>
      <c r="P269" s="62"/>
      <c r="Q269" s="62"/>
    </row>
    <row r="270">
      <c r="A270" s="59"/>
      <c r="B270" s="60"/>
      <c r="C270" s="60"/>
      <c r="D270" s="61"/>
      <c r="E270" s="59"/>
      <c r="F270" s="59"/>
      <c r="G270" s="59"/>
      <c r="H270" s="59"/>
      <c r="I270" s="59"/>
      <c r="J270" s="59"/>
      <c r="K270" s="59"/>
      <c r="L270" s="59"/>
      <c r="M270" s="59"/>
      <c r="N270" s="59"/>
      <c r="O270" s="59"/>
      <c r="P270" s="62"/>
      <c r="Q270" s="62"/>
    </row>
    <row r="271">
      <c r="A271" s="59"/>
      <c r="B271" s="60"/>
      <c r="C271" s="60"/>
      <c r="D271" s="61"/>
      <c r="E271" s="59"/>
      <c r="F271" s="59"/>
      <c r="G271" s="59"/>
      <c r="H271" s="59"/>
      <c r="I271" s="59"/>
      <c r="J271" s="59"/>
      <c r="K271" s="59"/>
      <c r="L271" s="59"/>
      <c r="M271" s="59"/>
      <c r="N271" s="59"/>
      <c r="O271" s="59"/>
      <c r="P271" s="62"/>
      <c r="Q271" s="62"/>
    </row>
    <row r="272">
      <c r="A272" s="59"/>
      <c r="B272" s="60"/>
      <c r="C272" s="60"/>
      <c r="D272" s="61"/>
      <c r="E272" s="59"/>
      <c r="F272" s="59"/>
      <c r="G272" s="59"/>
      <c r="H272" s="59"/>
      <c r="I272" s="59"/>
      <c r="J272" s="59"/>
      <c r="K272" s="59"/>
      <c r="L272" s="59"/>
      <c r="M272" s="59"/>
      <c r="N272" s="59"/>
      <c r="O272" s="59"/>
      <c r="P272" s="62"/>
      <c r="Q272" s="62"/>
    </row>
    <row r="273">
      <c r="A273" s="59"/>
      <c r="B273" s="60"/>
      <c r="C273" s="60"/>
      <c r="D273" s="61"/>
      <c r="E273" s="59"/>
      <c r="F273" s="59"/>
      <c r="G273" s="59"/>
      <c r="H273" s="59"/>
      <c r="I273" s="59"/>
      <c r="J273" s="59"/>
      <c r="K273" s="59"/>
      <c r="L273" s="59"/>
      <c r="M273" s="59"/>
      <c r="N273" s="59"/>
      <c r="O273" s="59"/>
      <c r="P273" s="62"/>
      <c r="Q273" s="62"/>
    </row>
    <row r="274">
      <c r="A274" s="59"/>
      <c r="B274" s="60"/>
      <c r="C274" s="60"/>
      <c r="D274" s="61"/>
      <c r="E274" s="59"/>
      <c r="F274" s="59"/>
      <c r="G274" s="59"/>
      <c r="H274" s="59"/>
      <c r="I274" s="59"/>
      <c r="J274" s="59"/>
      <c r="K274" s="59"/>
      <c r="L274" s="59"/>
      <c r="M274" s="59"/>
      <c r="N274" s="59"/>
      <c r="O274" s="59"/>
      <c r="P274" s="62"/>
      <c r="Q274" s="62"/>
    </row>
    <row r="275">
      <c r="A275" s="59"/>
      <c r="B275" s="60"/>
      <c r="C275" s="60"/>
      <c r="D275" s="61"/>
      <c r="E275" s="59"/>
      <c r="F275" s="59"/>
      <c r="G275" s="59"/>
      <c r="H275" s="59"/>
      <c r="I275" s="59"/>
      <c r="J275" s="59"/>
      <c r="K275" s="59"/>
      <c r="L275" s="59"/>
      <c r="M275" s="59"/>
      <c r="N275" s="59"/>
      <c r="O275" s="59"/>
      <c r="P275" s="62"/>
      <c r="Q275" s="62"/>
    </row>
    <row r="276">
      <c r="A276" s="59"/>
      <c r="B276" s="60"/>
      <c r="C276" s="60"/>
      <c r="D276" s="61"/>
      <c r="E276" s="59"/>
      <c r="F276" s="59"/>
      <c r="G276" s="59"/>
      <c r="H276" s="59"/>
      <c r="I276" s="59"/>
      <c r="J276" s="59"/>
      <c r="K276" s="59"/>
      <c r="L276" s="59"/>
      <c r="M276" s="59"/>
      <c r="N276" s="59"/>
      <c r="O276" s="59"/>
      <c r="P276" s="62"/>
      <c r="Q276" s="62"/>
    </row>
    <row r="277">
      <c r="A277" s="59"/>
      <c r="B277" s="60"/>
      <c r="C277" s="60"/>
      <c r="D277" s="61"/>
      <c r="E277" s="59"/>
      <c r="F277" s="59"/>
      <c r="G277" s="59"/>
      <c r="H277" s="59"/>
      <c r="I277" s="59"/>
      <c r="J277" s="59"/>
      <c r="K277" s="59"/>
      <c r="L277" s="59"/>
      <c r="M277" s="59"/>
      <c r="N277" s="59"/>
      <c r="O277" s="59"/>
      <c r="P277" s="62"/>
      <c r="Q277" s="62"/>
    </row>
    <row r="278">
      <c r="A278" s="59"/>
      <c r="B278" s="60"/>
      <c r="C278" s="60"/>
      <c r="D278" s="61"/>
      <c r="E278" s="59"/>
      <c r="F278" s="59"/>
      <c r="G278" s="59"/>
      <c r="H278" s="59"/>
      <c r="I278" s="59"/>
      <c r="J278" s="59"/>
      <c r="K278" s="59"/>
      <c r="L278" s="59"/>
      <c r="M278" s="59"/>
      <c r="N278" s="59"/>
      <c r="O278" s="59"/>
      <c r="P278" s="62"/>
      <c r="Q278" s="62"/>
    </row>
    <row r="279">
      <c r="A279" s="59"/>
      <c r="B279" s="60"/>
      <c r="C279" s="60"/>
      <c r="D279" s="61"/>
      <c r="E279" s="59"/>
      <c r="F279" s="59"/>
      <c r="G279" s="59"/>
      <c r="H279" s="59"/>
      <c r="I279" s="59"/>
      <c r="J279" s="59"/>
      <c r="K279" s="59"/>
      <c r="L279" s="59"/>
      <c r="M279" s="59"/>
      <c r="N279" s="59"/>
      <c r="O279" s="59"/>
      <c r="P279" s="62"/>
      <c r="Q279" s="62"/>
    </row>
    <row r="280">
      <c r="A280" s="59"/>
      <c r="B280" s="60"/>
      <c r="C280" s="60"/>
      <c r="D280" s="61"/>
      <c r="E280" s="59"/>
      <c r="F280" s="59"/>
      <c r="G280" s="59"/>
      <c r="H280" s="59"/>
      <c r="I280" s="59"/>
      <c r="J280" s="59"/>
      <c r="K280" s="59"/>
      <c r="L280" s="59"/>
      <c r="M280" s="59"/>
      <c r="N280" s="59"/>
      <c r="O280" s="59"/>
      <c r="P280" s="62"/>
      <c r="Q280" s="62"/>
    </row>
    <row r="281">
      <c r="A281" s="59"/>
      <c r="B281" s="60"/>
      <c r="C281" s="60"/>
      <c r="D281" s="61"/>
      <c r="E281" s="59"/>
      <c r="F281" s="59"/>
      <c r="G281" s="59"/>
      <c r="H281" s="59"/>
      <c r="I281" s="59"/>
      <c r="J281" s="59"/>
      <c r="K281" s="59"/>
      <c r="L281" s="59"/>
      <c r="M281" s="59"/>
      <c r="N281" s="59"/>
      <c r="O281" s="59"/>
      <c r="P281" s="62"/>
      <c r="Q281" s="62"/>
    </row>
    <row r="282">
      <c r="A282" s="59"/>
      <c r="B282" s="60"/>
      <c r="C282" s="60"/>
      <c r="D282" s="61"/>
      <c r="E282" s="59"/>
      <c r="F282" s="59"/>
      <c r="G282" s="59"/>
      <c r="H282" s="59"/>
      <c r="I282" s="59"/>
      <c r="J282" s="59"/>
      <c r="K282" s="59"/>
      <c r="L282" s="59"/>
      <c r="M282" s="59"/>
      <c r="N282" s="59"/>
      <c r="O282" s="59"/>
      <c r="P282" s="62"/>
      <c r="Q282" s="62"/>
    </row>
    <row r="283">
      <c r="A283" s="59"/>
      <c r="B283" s="60"/>
      <c r="C283" s="60"/>
      <c r="D283" s="61"/>
      <c r="E283" s="59"/>
      <c r="F283" s="59"/>
      <c r="G283" s="59"/>
      <c r="H283" s="59"/>
      <c r="I283" s="59"/>
      <c r="J283" s="59"/>
      <c r="K283" s="59"/>
      <c r="L283" s="59"/>
      <c r="M283" s="59"/>
      <c r="N283" s="59"/>
      <c r="O283" s="59"/>
      <c r="P283" s="62"/>
      <c r="Q283" s="62"/>
    </row>
    <row r="284">
      <c r="A284" s="59"/>
      <c r="B284" s="60"/>
      <c r="C284" s="60"/>
      <c r="D284" s="61"/>
      <c r="E284" s="59"/>
      <c r="F284" s="59"/>
      <c r="G284" s="59"/>
      <c r="H284" s="59"/>
      <c r="I284" s="59"/>
      <c r="J284" s="59"/>
      <c r="K284" s="59"/>
      <c r="L284" s="59"/>
      <c r="M284" s="59"/>
      <c r="N284" s="59"/>
      <c r="O284" s="59"/>
      <c r="P284" s="62"/>
      <c r="Q284" s="62"/>
    </row>
    <row r="285">
      <c r="A285" s="59"/>
      <c r="B285" s="60"/>
      <c r="C285" s="60"/>
      <c r="D285" s="61"/>
      <c r="E285" s="59"/>
      <c r="F285" s="59"/>
      <c r="G285" s="59"/>
      <c r="H285" s="59"/>
      <c r="I285" s="59"/>
      <c r="J285" s="59"/>
      <c r="K285" s="59"/>
      <c r="L285" s="59"/>
      <c r="M285" s="59"/>
      <c r="N285" s="59"/>
      <c r="O285" s="59"/>
      <c r="P285" s="62"/>
      <c r="Q285" s="62"/>
    </row>
    <row r="286">
      <c r="A286" s="59"/>
      <c r="B286" s="60"/>
      <c r="C286" s="60"/>
      <c r="D286" s="61"/>
      <c r="E286" s="59"/>
      <c r="F286" s="59"/>
      <c r="G286" s="59"/>
      <c r="H286" s="59"/>
      <c r="I286" s="59"/>
      <c r="J286" s="59"/>
      <c r="K286" s="59"/>
      <c r="L286" s="59"/>
      <c r="M286" s="59"/>
      <c r="N286" s="59"/>
      <c r="O286" s="59"/>
      <c r="P286" s="62"/>
      <c r="Q286" s="62"/>
    </row>
    <row r="287">
      <c r="A287" s="59"/>
      <c r="B287" s="60"/>
      <c r="C287" s="60"/>
      <c r="D287" s="61"/>
      <c r="E287" s="59"/>
      <c r="F287" s="59"/>
      <c r="G287" s="59"/>
      <c r="H287" s="59"/>
      <c r="I287" s="59"/>
      <c r="J287" s="59"/>
      <c r="K287" s="59"/>
      <c r="L287" s="59"/>
      <c r="M287" s="59"/>
      <c r="N287" s="59"/>
      <c r="O287" s="59"/>
      <c r="P287" s="62"/>
      <c r="Q287" s="62"/>
    </row>
    <row r="288">
      <c r="A288" s="59"/>
      <c r="B288" s="60"/>
      <c r="C288" s="60"/>
      <c r="D288" s="61"/>
      <c r="E288" s="59"/>
      <c r="F288" s="59"/>
      <c r="G288" s="59"/>
      <c r="H288" s="59"/>
      <c r="I288" s="59"/>
      <c r="J288" s="59"/>
      <c r="K288" s="59"/>
      <c r="L288" s="59"/>
      <c r="M288" s="59"/>
      <c r="N288" s="59"/>
      <c r="O288" s="59"/>
      <c r="P288" s="62"/>
      <c r="Q288" s="62"/>
    </row>
    <row r="289">
      <c r="A289" s="59"/>
      <c r="B289" s="60"/>
      <c r="C289" s="60"/>
      <c r="D289" s="61"/>
      <c r="E289" s="59"/>
      <c r="F289" s="59"/>
      <c r="G289" s="59"/>
      <c r="H289" s="59"/>
      <c r="I289" s="59"/>
      <c r="J289" s="59"/>
      <c r="K289" s="59"/>
      <c r="L289" s="59"/>
      <c r="M289" s="59"/>
      <c r="N289" s="59"/>
      <c r="O289" s="59"/>
      <c r="P289" s="62"/>
      <c r="Q289" s="62"/>
    </row>
    <row r="290">
      <c r="A290" s="59"/>
      <c r="B290" s="60"/>
      <c r="C290" s="60"/>
      <c r="D290" s="61"/>
      <c r="E290" s="59"/>
      <c r="F290" s="59"/>
      <c r="G290" s="59"/>
      <c r="H290" s="59"/>
      <c r="I290" s="59"/>
      <c r="J290" s="59"/>
      <c r="K290" s="59"/>
      <c r="L290" s="59"/>
      <c r="M290" s="59"/>
      <c r="N290" s="59"/>
      <c r="O290" s="59"/>
      <c r="P290" s="62"/>
      <c r="Q290" s="62"/>
    </row>
    <row r="291">
      <c r="A291" s="59"/>
      <c r="B291" s="60"/>
      <c r="C291" s="60"/>
      <c r="D291" s="61"/>
      <c r="E291" s="59"/>
      <c r="F291" s="59"/>
      <c r="G291" s="59"/>
      <c r="H291" s="59"/>
      <c r="I291" s="59"/>
      <c r="J291" s="59"/>
      <c r="K291" s="59"/>
      <c r="L291" s="59"/>
      <c r="M291" s="59"/>
      <c r="N291" s="59"/>
      <c r="O291" s="59"/>
      <c r="P291" s="62"/>
      <c r="Q291" s="62"/>
    </row>
    <row r="292">
      <c r="A292" s="59"/>
      <c r="B292" s="60"/>
      <c r="C292" s="60"/>
      <c r="D292" s="61"/>
      <c r="E292" s="59"/>
      <c r="F292" s="59"/>
      <c r="G292" s="59"/>
      <c r="H292" s="59"/>
      <c r="I292" s="59"/>
      <c r="J292" s="59"/>
      <c r="K292" s="59"/>
      <c r="L292" s="59"/>
      <c r="M292" s="59"/>
      <c r="N292" s="59"/>
      <c r="O292" s="59"/>
      <c r="P292" s="62"/>
      <c r="Q292" s="62"/>
    </row>
    <row r="293">
      <c r="A293" s="59"/>
      <c r="B293" s="60"/>
      <c r="C293" s="60"/>
      <c r="D293" s="61"/>
      <c r="E293" s="59"/>
      <c r="F293" s="59"/>
      <c r="G293" s="59"/>
      <c r="H293" s="59"/>
      <c r="I293" s="59"/>
      <c r="J293" s="59"/>
      <c r="K293" s="59"/>
      <c r="L293" s="59"/>
      <c r="M293" s="59"/>
      <c r="N293" s="59"/>
      <c r="O293" s="59"/>
      <c r="P293" s="62"/>
      <c r="Q293" s="62"/>
    </row>
    <row r="294">
      <c r="A294" s="59"/>
      <c r="B294" s="60"/>
      <c r="C294" s="60"/>
      <c r="D294" s="61"/>
      <c r="E294" s="59"/>
      <c r="F294" s="59"/>
      <c r="G294" s="59"/>
      <c r="H294" s="59"/>
      <c r="I294" s="59"/>
      <c r="J294" s="59"/>
      <c r="K294" s="59"/>
      <c r="L294" s="59"/>
      <c r="M294" s="59"/>
      <c r="N294" s="59"/>
      <c r="O294" s="59"/>
      <c r="P294" s="62"/>
      <c r="Q294" s="62"/>
    </row>
    <row r="295">
      <c r="A295" s="59"/>
      <c r="B295" s="60"/>
      <c r="C295" s="60"/>
      <c r="D295" s="61"/>
      <c r="E295" s="59"/>
      <c r="F295" s="59"/>
      <c r="G295" s="59"/>
      <c r="H295" s="59"/>
      <c r="I295" s="59"/>
      <c r="J295" s="59"/>
      <c r="K295" s="59"/>
      <c r="L295" s="59"/>
      <c r="M295" s="59"/>
      <c r="N295" s="59"/>
      <c r="O295" s="59"/>
      <c r="P295" s="62"/>
      <c r="Q295" s="62"/>
    </row>
    <row r="296">
      <c r="A296" s="59"/>
      <c r="B296" s="60"/>
      <c r="C296" s="60"/>
      <c r="D296" s="61"/>
      <c r="E296" s="59"/>
      <c r="F296" s="59"/>
      <c r="G296" s="59"/>
      <c r="H296" s="59"/>
      <c r="I296" s="59"/>
      <c r="J296" s="59"/>
      <c r="K296" s="59"/>
      <c r="L296" s="59"/>
      <c r="M296" s="59"/>
      <c r="N296" s="59"/>
      <c r="O296" s="59"/>
      <c r="P296" s="62"/>
      <c r="Q296" s="62"/>
    </row>
    <row r="297">
      <c r="A297" s="59"/>
      <c r="B297" s="60"/>
      <c r="C297" s="60"/>
      <c r="D297" s="61"/>
      <c r="E297" s="59"/>
      <c r="F297" s="59"/>
      <c r="G297" s="59"/>
      <c r="H297" s="59"/>
      <c r="I297" s="59"/>
      <c r="J297" s="59"/>
      <c r="K297" s="59"/>
      <c r="L297" s="59"/>
      <c r="M297" s="59"/>
      <c r="N297" s="59"/>
      <c r="O297" s="59"/>
      <c r="P297" s="62"/>
      <c r="Q297" s="62"/>
    </row>
    <row r="298">
      <c r="A298" s="59"/>
      <c r="B298" s="60"/>
      <c r="C298" s="60"/>
      <c r="D298" s="61"/>
      <c r="E298" s="59"/>
      <c r="F298" s="59"/>
      <c r="G298" s="59"/>
      <c r="H298" s="59"/>
      <c r="I298" s="59"/>
      <c r="J298" s="59"/>
      <c r="K298" s="59"/>
      <c r="L298" s="59"/>
      <c r="M298" s="59"/>
      <c r="N298" s="59"/>
      <c r="O298" s="59"/>
      <c r="P298" s="62"/>
      <c r="Q298" s="62"/>
    </row>
    <row r="299">
      <c r="A299" s="59"/>
      <c r="B299" s="60"/>
      <c r="C299" s="60"/>
      <c r="D299" s="61"/>
      <c r="E299" s="59"/>
      <c r="F299" s="59"/>
      <c r="G299" s="59"/>
      <c r="H299" s="59"/>
      <c r="I299" s="59"/>
      <c r="J299" s="59"/>
      <c r="K299" s="59"/>
      <c r="L299" s="59"/>
      <c r="M299" s="59"/>
      <c r="N299" s="59"/>
      <c r="O299" s="59"/>
      <c r="P299" s="62"/>
      <c r="Q299" s="62"/>
    </row>
    <row r="300">
      <c r="A300" s="59"/>
      <c r="B300" s="60"/>
      <c r="C300" s="60"/>
      <c r="D300" s="61"/>
      <c r="E300" s="59"/>
      <c r="F300" s="59"/>
      <c r="G300" s="59"/>
      <c r="H300" s="59"/>
      <c r="I300" s="59"/>
      <c r="J300" s="59"/>
      <c r="K300" s="59"/>
      <c r="L300" s="59"/>
      <c r="M300" s="59"/>
      <c r="N300" s="59"/>
      <c r="O300" s="59"/>
      <c r="P300" s="62"/>
      <c r="Q300" s="62"/>
    </row>
    <row r="301">
      <c r="A301" s="59"/>
      <c r="B301" s="60"/>
      <c r="C301" s="60"/>
      <c r="D301" s="61"/>
      <c r="E301" s="59"/>
      <c r="F301" s="59"/>
      <c r="G301" s="59"/>
      <c r="H301" s="59"/>
      <c r="I301" s="59"/>
      <c r="J301" s="59"/>
      <c r="K301" s="59"/>
      <c r="L301" s="59"/>
      <c r="M301" s="59"/>
      <c r="N301" s="59"/>
      <c r="O301" s="59"/>
      <c r="P301" s="62"/>
      <c r="Q301" s="62"/>
    </row>
    <row r="302">
      <c r="A302" s="59"/>
      <c r="B302" s="60"/>
      <c r="C302" s="60"/>
      <c r="D302" s="61"/>
      <c r="E302" s="59"/>
      <c r="F302" s="59"/>
      <c r="G302" s="59"/>
      <c r="H302" s="59"/>
      <c r="I302" s="59"/>
      <c r="J302" s="59"/>
      <c r="K302" s="59"/>
      <c r="L302" s="59"/>
      <c r="M302" s="59"/>
      <c r="N302" s="59"/>
      <c r="O302" s="59"/>
      <c r="P302" s="62"/>
      <c r="Q302" s="62"/>
    </row>
    <row r="303">
      <c r="A303" s="59"/>
      <c r="B303" s="60"/>
      <c r="C303" s="60"/>
      <c r="D303" s="61"/>
      <c r="E303" s="59"/>
      <c r="F303" s="59"/>
      <c r="G303" s="59"/>
      <c r="H303" s="59"/>
      <c r="I303" s="59"/>
      <c r="J303" s="59"/>
      <c r="K303" s="59"/>
      <c r="L303" s="59"/>
      <c r="M303" s="59"/>
      <c r="N303" s="59"/>
      <c r="O303" s="59"/>
      <c r="P303" s="62"/>
      <c r="Q303" s="62"/>
    </row>
    <row r="304">
      <c r="A304" s="59"/>
      <c r="B304" s="60"/>
      <c r="C304" s="60"/>
      <c r="D304" s="61"/>
      <c r="E304" s="59"/>
      <c r="F304" s="59"/>
      <c r="G304" s="59"/>
      <c r="H304" s="59"/>
      <c r="I304" s="59"/>
      <c r="J304" s="59"/>
      <c r="K304" s="59"/>
      <c r="L304" s="59"/>
      <c r="M304" s="59"/>
      <c r="N304" s="59"/>
      <c r="O304" s="59"/>
      <c r="P304" s="62"/>
      <c r="Q304" s="62"/>
    </row>
    <row r="305">
      <c r="A305" s="59"/>
      <c r="B305" s="60"/>
      <c r="C305" s="60"/>
      <c r="D305" s="61"/>
      <c r="E305" s="59"/>
      <c r="F305" s="59"/>
      <c r="G305" s="59"/>
      <c r="H305" s="59"/>
      <c r="I305" s="59"/>
      <c r="J305" s="59"/>
      <c r="K305" s="59"/>
      <c r="L305" s="59"/>
      <c r="M305" s="59"/>
      <c r="N305" s="59"/>
      <c r="O305" s="59"/>
      <c r="P305" s="62"/>
      <c r="Q305" s="62"/>
    </row>
    <row r="306">
      <c r="A306" s="59"/>
      <c r="B306" s="60"/>
      <c r="C306" s="60"/>
      <c r="D306" s="61"/>
      <c r="E306" s="59"/>
      <c r="F306" s="59"/>
      <c r="G306" s="59"/>
      <c r="H306" s="59"/>
      <c r="I306" s="59"/>
      <c r="J306" s="59"/>
      <c r="K306" s="59"/>
      <c r="L306" s="59"/>
      <c r="M306" s="59"/>
      <c r="N306" s="59"/>
      <c r="O306" s="59"/>
      <c r="P306" s="62"/>
      <c r="Q306" s="62"/>
    </row>
    <row r="307">
      <c r="A307" s="59"/>
      <c r="B307" s="60"/>
      <c r="C307" s="60"/>
      <c r="D307" s="61"/>
      <c r="E307" s="59"/>
      <c r="F307" s="59"/>
      <c r="G307" s="59"/>
      <c r="H307" s="59"/>
      <c r="I307" s="59"/>
      <c r="J307" s="59"/>
      <c r="K307" s="59"/>
      <c r="L307" s="59"/>
      <c r="M307" s="59"/>
      <c r="N307" s="59"/>
      <c r="O307" s="59"/>
      <c r="P307" s="62"/>
      <c r="Q307" s="62"/>
    </row>
    <row r="308">
      <c r="A308" s="59"/>
      <c r="B308" s="60"/>
      <c r="C308" s="60"/>
      <c r="D308" s="61"/>
      <c r="E308" s="59"/>
      <c r="F308" s="59"/>
      <c r="G308" s="59"/>
      <c r="H308" s="59"/>
      <c r="I308" s="59"/>
      <c r="J308" s="59"/>
      <c r="K308" s="59"/>
      <c r="L308" s="59"/>
      <c r="M308" s="59"/>
      <c r="N308" s="59"/>
      <c r="O308" s="59"/>
      <c r="P308" s="62"/>
      <c r="Q308" s="62"/>
    </row>
    <row r="309">
      <c r="A309" s="59"/>
      <c r="B309" s="60"/>
      <c r="C309" s="60"/>
      <c r="D309" s="61"/>
      <c r="E309" s="59"/>
      <c r="F309" s="59"/>
      <c r="G309" s="59"/>
      <c r="H309" s="59"/>
      <c r="I309" s="59"/>
      <c r="J309" s="59"/>
      <c r="K309" s="59"/>
      <c r="L309" s="59"/>
      <c r="M309" s="59"/>
      <c r="N309" s="59"/>
      <c r="O309" s="59"/>
      <c r="P309" s="62"/>
      <c r="Q309" s="62"/>
    </row>
    <row r="310">
      <c r="A310" s="59"/>
      <c r="B310" s="60"/>
      <c r="C310" s="60"/>
      <c r="D310" s="61"/>
      <c r="E310" s="59"/>
      <c r="F310" s="59"/>
      <c r="G310" s="59"/>
      <c r="H310" s="59"/>
      <c r="I310" s="59"/>
      <c r="J310" s="59"/>
      <c r="K310" s="59"/>
      <c r="L310" s="59"/>
      <c r="M310" s="59"/>
      <c r="N310" s="59"/>
      <c r="O310" s="59"/>
      <c r="P310" s="62"/>
      <c r="Q310" s="62"/>
    </row>
    <row r="311">
      <c r="A311" s="59"/>
      <c r="B311" s="60"/>
      <c r="C311" s="60"/>
      <c r="D311" s="61"/>
      <c r="E311" s="59"/>
      <c r="F311" s="59"/>
      <c r="G311" s="59"/>
      <c r="H311" s="59"/>
      <c r="I311" s="59"/>
      <c r="J311" s="59"/>
      <c r="K311" s="59"/>
      <c r="L311" s="59"/>
      <c r="M311" s="59"/>
      <c r="N311" s="59"/>
      <c r="O311" s="59"/>
      <c r="P311" s="62"/>
      <c r="Q311" s="62"/>
    </row>
    <row r="312">
      <c r="A312" s="59"/>
      <c r="B312" s="60"/>
      <c r="C312" s="60"/>
      <c r="D312" s="61"/>
      <c r="E312" s="59"/>
      <c r="F312" s="59"/>
      <c r="G312" s="59"/>
      <c r="H312" s="59"/>
      <c r="I312" s="59"/>
      <c r="J312" s="59"/>
      <c r="K312" s="59"/>
      <c r="L312" s="59"/>
      <c r="M312" s="59"/>
      <c r="N312" s="59"/>
      <c r="O312" s="59"/>
      <c r="P312" s="62"/>
      <c r="Q312" s="62"/>
    </row>
    <row r="313">
      <c r="A313" s="59"/>
      <c r="B313" s="60"/>
      <c r="C313" s="60"/>
      <c r="D313" s="61"/>
      <c r="E313" s="59"/>
      <c r="F313" s="59"/>
      <c r="G313" s="59"/>
      <c r="H313" s="59"/>
      <c r="I313" s="59"/>
      <c r="J313" s="59"/>
      <c r="K313" s="59"/>
      <c r="L313" s="59"/>
      <c r="M313" s="59"/>
      <c r="N313" s="59"/>
      <c r="O313" s="59"/>
      <c r="P313" s="62"/>
      <c r="Q313" s="62"/>
    </row>
    <row r="314">
      <c r="A314" s="59"/>
      <c r="B314" s="60"/>
      <c r="C314" s="60"/>
      <c r="D314" s="61"/>
      <c r="E314" s="59"/>
      <c r="F314" s="59"/>
      <c r="G314" s="59"/>
      <c r="H314" s="59"/>
      <c r="I314" s="59"/>
      <c r="J314" s="59"/>
      <c r="K314" s="59"/>
      <c r="L314" s="59"/>
      <c r="M314" s="59"/>
      <c r="N314" s="59"/>
      <c r="O314" s="59"/>
      <c r="P314" s="62"/>
      <c r="Q314" s="62"/>
    </row>
    <row r="315">
      <c r="A315" s="59"/>
      <c r="B315" s="60"/>
      <c r="C315" s="60"/>
      <c r="D315" s="61"/>
      <c r="E315" s="59"/>
      <c r="F315" s="59"/>
      <c r="G315" s="59"/>
      <c r="H315" s="59"/>
      <c r="I315" s="59"/>
      <c r="J315" s="59"/>
      <c r="K315" s="59"/>
      <c r="L315" s="59"/>
      <c r="M315" s="59"/>
      <c r="N315" s="59"/>
      <c r="O315" s="59"/>
      <c r="P315" s="62"/>
      <c r="Q315" s="62"/>
    </row>
    <row r="316">
      <c r="A316" s="59"/>
      <c r="B316" s="60"/>
      <c r="C316" s="60"/>
      <c r="D316" s="61"/>
      <c r="E316" s="59"/>
      <c r="F316" s="59"/>
      <c r="G316" s="59"/>
      <c r="H316" s="59"/>
      <c r="I316" s="59"/>
      <c r="J316" s="59"/>
      <c r="K316" s="59"/>
      <c r="L316" s="59"/>
      <c r="M316" s="59"/>
      <c r="N316" s="59"/>
      <c r="O316" s="59"/>
      <c r="P316" s="62"/>
      <c r="Q316" s="62"/>
    </row>
    <row r="317">
      <c r="A317" s="59"/>
      <c r="B317" s="60"/>
      <c r="C317" s="60"/>
      <c r="D317" s="61"/>
      <c r="E317" s="59"/>
      <c r="F317" s="59"/>
      <c r="G317" s="59"/>
      <c r="H317" s="59"/>
      <c r="I317" s="59"/>
      <c r="J317" s="59"/>
      <c r="K317" s="59"/>
      <c r="L317" s="59"/>
      <c r="M317" s="59"/>
      <c r="N317" s="59"/>
      <c r="O317" s="59"/>
      <c r="P317" s="62"/>
      <c r="Q317" s="62"/>
    </row>
    <row r="318">
      <c r="A318" s="59"/>
      <c r="B318" s="60"/>
      <c r="C318" s="60"/>
      <c r="D318" s="61"/>
      <c r="E318" s="59"/>
      <c r="F318" s="59"/>
      <c r="G318" s="59"/>
      <c r="H318" s="59"/>
      <c r="I318" s="59"/>
      <c r="J318" s="59"/>
      <c r="K318" s="59"/>
      <c r="L318" s="59"/>
      <c r="M318" s="59"/>
      <c r="N318" s="59"/>
      <c r="O318" s="59"/>
      <c r="P318" s="62"/>
      <c r="Q318" s="62"/>
    </row>
    <row r="319">
      <c r="A319" s="59"/>
      <c r="B319" s="60"/>
      <c r="C319" s="60"/>
      <c r="D319" s="61"/>
      <c r="E319" s="59"/>
      <c r="F319" s="59"/>
      <c r="G319" s="59"/>
      <c r="H319" s="59"/>
      <c r="I319" s="59"/>
      <c r="J319" s="59"/>
      <c r="K319" s="59"/>
      <c r="L319" s="59"/>
      <c r="M319" s="59"/>
      <c r="N319" s="59"/>
      <c r="O319" s="59"/>
      <c r="P319" s="62"/>
      <c r="Q319" s="62"/>
    </row>
    <row r="320">
      <c r="A320" s="59"/>
      <c r="B320" s="60"/>
      <c r="C320" s="60"/>
      <c r="D320" s="61"/>
      <c r="E320" s="59"/>
      <c r="F320" s="59"/>
      <c r="G320" s="59"/>
      <c r="H320" s="59"/>
      <c r="I320" s="59"/>
      <c r="J320" s="59"/>
      <c r="K320" s="59"/>
      <c r="L320" s="59"/>
      <c r="M320" s="59"/>
      <c r="N320" s="59"/>
      <c r="O320" s="59"/>
      <c r="P320" s="62"/>
      <c r="Q320" s="62"/>
    </row>
    <row r="321">
      <c r="A321" s="59"/>
      <c r="B321" s="60"/>
      <c r="C321" s="60"/>
      <c r="D321" s="61"/>
      <c r="E321" s="59"/>
      <c r="F321" s="59"/>
      <c r="G321" s="59"/>
      <c r="H321" s="59"/>
      <c r="I321" s="59"/>
      <c r="J321" s="59"/>
      <c r="K321" s="59"/>
      <c r="L321" s="59"/>
      <c r="M321" s="59"/>
      <c r="N321" s="59"/>
      <c r="O321" s="59"/>
      <c r="P321" s="62"/>
      <c r="Q321" s="62"/>
    </row>
    <row r="322">
      <c r="A322" s="59"/>
      <c r="B322" s="60"/>
      <c r="C322" s="60"/>
      <c r="D322" s="61"/>
      <c r="E322" s="59"/>
      <c r="F322" s="59"/>
      <c r="G322" s="59"/>
      <c r="H322" s="59"/>
      <c r="I322" s="59"/>
      <c r="J322" s="59"/>
      <c r="K322" s="59"/>
      <c r="L322" s="59"/>
      <c r="M322" s="59"/>
      <c r="N322" s="59"/>
      <c r="O322" s="59"/>
      <c r="P322" s="62"/>
      <c r="Q322" s="62"/>
    </row>
    <row r="323">
      <c r="A323" s="59"/>
      <c r="B323" s="60"/>
      <c r="C323" s="60"/>
      <c r="D323" s="61"/>
      <c r="E323" s="59"/>
      <c r="F323" s="59"/>
      <c r="G323" s="59"/>
      <c r="H323" s="59"/>
      <c r="I323" s="59"/>
      <c r="J323" s="59"/>
      <c r="K323" s="59"/>
      <c r="L323" s="59"/>
      <c r="M323" s="59"/>
      <c r="N323" s="59"/>
      <c r="O323" s="59"/>
      <c r="P323" s="62"/>
      <c r="Q323" s="62"/>
    </row>
    <row r="324">
      <c r="A324" s="59"/>
      <c r="B324" s="60"/>
      <c r="C324" s="60"/>
      <c r="D324" s="61"/>
      <c r="E324" s="59"/>
      <c r="F324" s="59"/>
      <c r="G324" s="59"/>
      <c r="H324" s="59"/>
      <c r="I324" s="59"/>
      <c r="J324" s="59"/>
      <c r="K324" s="59"/>
      <c r="L324" s="59"/>
      <c r="M324" s="59"/>
      <c r="N324" s="59"/>
      <c r="O324" s="59"/>
      <c r="P324" s="62"/>
      <c r="Q324" s="62"/>
    </row>
    <row r="325">
      <c r="A325" s="59"/>
      <c r="B325" s="60"/>
      <c r="C325" s="60"/>
      <c r="D325" s="61"/>
      <c r="E325" s="59"/>
      <c r="F325" s="59"/>
      <c r="G325" s="59"/>
      <c r="H325" s="59"/>
      <c r="I325" s="59"/>
      <c r="J325" s="59"/>
      <c r="K325" s="59"/>
      <c r="L325" s="59"/>
      <c r="M325" s="59"/>
      <c r="N325" s="59"/>
      <c r="O325" s="59"/>
      <c r="P325" s="62"/>
      <c r="Q325" s="62"/>
    </row>
    <row r="326">
      <c r="A326" s="59"/>
      <c r="B326" s="60"/>
      <c r="C326" s="60"/>
      <c r="D326" s="61"/>
      <c r="E326" s="59"/>
      <c r="F326" s="59"/>
      <c r="G326" s="59"/>
      <c r="H326" s="59"/>
      <c r="I326" s="59"/>
      <c r="J326" s="59"/>
      <c r="K326" s="59"/>
      <c r="L326" s="59"/>
      <c r="M326" s="59"/>
      <c r="N326" s="59"/>
      <c r="O326" s="59"/>
      <c r="P326" s="62"/>
      <c r="Q326" s="62"/>
    </row>
    <row r="327">
      <c r="A327" s="59"/>
      <c r="B327" s="60"/>
      <c r="C327" s="60"/>
      <c r="D327" s="61"/>
      <c r="E327" s="59"/>
      <c r="F327" s="59"/>
      <c r="G327" s="59"/>
      <c r="H327" s="59"/>
      <c r="I327" s="59"/>
      <c r="J327" s="59"/>
      <c r="K327" s="59"/>
      <c r="L327" s="59"/>
      <c r="M327" s="59"/>
      <c r="N327" s="59"/>
      <c r="O327" s="59"/>
      <c r="P327" s="62"/>
      <c r="Q327" s="62"/>
    </row>
    <row r="328">
      <c r="A328" s="59"/>
      <c r="B328" s="60"/>
      <c r="C328" s="60"/>
      <c r="D328" s="61"/>
      <c r="E328" s="59"/>
      <c r="F328" s="59"/>
      <c r="G328" s="59"/>
      <c r="H328" s="59"/>
      <c r="I328" s="59"/>
      <c r="J328" s="59"/>
      <c r="K328" s="59"/>
      <c r="L328" s="59"/>
      <c r="M328" s="59"/>
      <c r="N328" s="59"/>
      <c r="O328" s="59"/>
      <c r="P328" s="62"/>
      <c r="Q328" s="62"/>
    </row>
    <row r="329">
      <c r="A329" s="59"/>
      <c r="B329" s="60"/>
      <c r="C329" s="60"/>
      <c r="D329" s="61"/>
      <c r="E329" s="59"/>
      <c r="F329" s="59"/>
      <c r="G329" s="59"/>
      <c r="H329" s="59"/>
      <c r="I329" s="59"/>
      <c r="J329" s="59"/>
      <c r="K329" s="59"/>
      <c r="L329" s="59"/>
      <c r="M329" s="59"/>
      <c r="N329" s="59"/>
      <c r="O329" s="59"/>
      <c r="P329" s="62"/>
      <c r="Q329" s="62"/>
    </row>
    <row r="330">
      <c r="A330" s="59"/>
      <c r="B330" s="60"/>
      <c r="C330" s="60"/>
      <c r="D330" s="61"/>
      <c r="E330" s="59"/>
      <c r="F330" s="59"/>
      <c r="G330" s="59"/>
      <c r="H330" s="59"/>
      <c r="I330" s="59"/>
      <c r="J330" s="59"/>
      <c r="K330" s="59"/>
      <c r="L330" s="59"/>
      <c r="M330" s="59"/>
      <c r="N330" s="59"/>
      <c r="O330" s="59"/>
      <c r="P330" s="62"/>
      <c r="Q330" s="62"/>
    </row>
    <row r="331">
      <c r="A331" s="59"/>
      <c r="B331" s="60"/>
      <c r="C331" s="60"/>
      <c r="D331" s="61"/>
      <c r="E331" s="59"/>
      <c r="F331" s="59"/>
      <c r="G331" s="59"/>
      <c r="H331" s="59"/>
      <c r="I331" s="59"/>
      <c r="J331" s="59"/>
      <c r="K331" s="59"/>
      <c r="L331" s="59"/>
      <c r="M331" s="59"/>
      <c r="N331" s="59"/>
      <c r="O331" s="59"/>
      <c r="P331" s="62"/>
      <c r="Q331" s="62"/>
    </row>
    <row r="332">
      <c r="A332" s="59"/>
      <c r="B332" s="60"/>
      <c r="C332" s="60"/>
      <c r="D332" s="61"/>
      <c r="E332" s="59"/>
      <c r="F332" s="59"/>
      <c r="G332" s="59"/>
      <c r="H332" s="59"/>
      <c r="I332" s="59"/>
      <c r="J332" s="59"/>
      <c r="K332" s="59"/>
      <c r="L332" s="59"/>
      <c r="M332" s="59"/>
      <c r="N332" s="59"/>
      <c r="O332" s="59"/>
      <c r="P332" s="62"/>
      <c r="Q332" s="62"/>
    </row>
    <row r="333">
      <c r="A333" s="59"/>
      <c r="B333" s="60"/>
      <c r="C333" s="60"/>
      <c r="D333" s="61"/>
      <c r="E333" s="59"/>
      <c r="F333" s="59"/>
      <c r="G333" s="59"/>
      <c r="H333" s="59"/>
      <c r="I333" s="59"/>
      <c r="J333" s="59"/>
      <c r="K333" s="59"/>
      <c r="L333" s="59"/>
      <c r="M333" s="59"/>
      <c r="N333" s="59"/>
      <c r="O333" s="59"/>
      <c r="P333" s="62"/>
      <c r="Q333" s="62"/>
    </row>
    <row r="334">
      <c r="A334" s="59"/>
      <c r="B334" s="60"/>
      <c r="C334" s="60"/>
      <c r="D334" s="61"/>
      <c r="E334" s="59"/>
      <c r="F334" s="59"/>
      <c r="G334" s="59"/>
      <c r="H334" s="59"/>
      <c r="I334" s="59"/>
      <c r="J334" s="59"/>
      <c r="K334" s="59"/>
      <c r="L334" s="59"/>
      <c r="M334" s="59"/>
      <c r="N334" s="59"/>
      <c r="O334" s="59"/>
      <c r="P334" s="62"/>
      <c r="Q334" s="62"/>
    </row>
    <row r="335">
      <c r="A335" s="59"/>
      <c r="B335" s="60"/>
      <c r="C335" s="60"/>
      <c r="D335" s="61"/>
      <c r="E335" s="59"/>
      <c r="F335" s="59"/>
      <c r="G335" s="59"/>
      <c r="H335" s="59"/>
      <c r="I335" s="59"/>
      <c r="J335" s="59"/>
      <c r="K335" s="59"/>
      <c r="L335" s="59"/>
      <c r="M335" s="59"/>
      <c r="N335" s="59"/>
      <c r="O335" s="59"/>
      <c r="P335" s="62"/>
      <c r="Q335" s="62"/>
    </row>
    <row r="336">
      <c r="A336" s="59"/>
      <c r="B336" s="60"/>
      <c r="C336" s="60"/>
      <c r="D336" s="61"/>
      <c r="E336" s="59"/>
      <c r="F336" s="59"/>
      <c r="G336" s="59"/>
      <c r="H336" s="59"/>
      <c r="I336" s="59"/>
      <c r="J336" s="59"/>
      <c r="K336" s="59"/>
      <c r="L336" s="59"/>
      <c r="M336" s="59"/>
      <c r="N336" s="59"/>
      <c r="O336" s="59"/>
      <c r="P336" s="62"/>
      <c r="Q336" s="62"/>
    </row>
    <row r="337">
      <c r="A337" s="59"/>
      <c r="B337" s="60"/>
      <c r="C337" s="60"/>
      <c r="D337" s="61"/>
      <c r="E337" s="59"/>
      <c r="F337" s="59"/>
      <c r="G337" s="59"/>
      <c r="H337" s="59"/>
      <c r="I337" s="59"/>
      <c r="J337" s="59"/>
      <c r="K337" s="59"/>
      <c r="L337" s="59"/>
      <c r="M337" s="59"/>
      <c r="N337" s="59"/>
      <c r="O337" s="59"/>
      <c r="P337" s="62"/>
      <c r="Q337" s="62"/>
    </row>
    <row r="338">
      <c r="A338" s="59"/>
      <c r="B338" s="60"/>
      <c r="C338" s="60"/>
      <c r="D338" s="61"/>
      <c r="E338" s="59"/>
      <c r="F338" s="59"/>
      <c r="G338" s="59"/>
      <c r="H338" s="59"/>
      <c r="I338" s="59"/>
      <c r="J338" s="59"/>
      <c r="K338" s="59"/>
      <c r="L338" s="59"/>
      <c r="M338" s="59"/>
      <c r="N338" s="59"/>
      <c r="O338" s="59"/>
      <c r="P338" s="62"/>
      <c r="Q338" s="62"/>
    </row>
    <row r="339">
      <c r="A339" s="59"/>
      <c r="B339" s="60"/>
      <c r="C339" s="60"/>
      <c r="D339" s="61"/>
      <c r="E339" s="59"/>
      <c r="F339" s="59"/>
      <c r="G339" s="59"/>
      <c r="H339" s="59"/>
      <c r="I339" s="59"/>
      <c r="J339" s="59"/>
      <c r="K339" s="59"/>
      <c r="L339" s="59"/>
      <c r="M339" s="59"/>
      <c r="N339" s="59"/>
      <c r="O339" s="59"/>
      <c r="P339" s="62"/>
      <c r="Q339" s="62"/>
    </row>
    <row r="340">
      <c r="A340" s="59"/>
      <c r="B340" s="60"/>
      <c r="C340" s="60"/>
      <c r="D340" s="61"/>
      <c r="E340" s="59"/>
      <c r="F340" s="59"/>
      <c r="G340" s="59"/>
      <c r="H340" s="59"/>
      <c r="I340" s="59"/>
      <c r="J340" s="59"/>
      <c r="K340" s="59"/>
      <c r="L340" s="59"/>
      <c r="M340" s="59"/>
      <c r="N340" s="59"/>
      <c r="O340" s="59"/>
      <c r="P340" s="62"/>
      <c r="Q340" s="62"/>
    </row>
    <row r="341">
      <c r="A341" s="59"/>
      <c r="B341" s="60"/>
      <c r="C341" s="60"/>
      <c r="D341" s="61"/>
      <c r="E341" s="59"/>
      <c r="F341" s="59"/>
      <c r="G341" s="59"/>
      <c r="H341" s="59"/>
      <c r="I341" s="59"/>
      <c r="J341" s="59"/>
      <c r="K341" s="59"/>
      <c r="L341" s="59"/>
      <c r="M341" s="59"/>
      <c r="N341" s="59"/>
      <c r="O341" s="59"/>
      <c r="P341" s="62"/>
      <c r="Q341" s="62"/>
    </row>
    <row r="342">
      <c r="A342" s="59"/>
      <c r="B342" s="60"/>
      <c r="C342" s="60"/>
      <c r="D342" s="61"/>
      <c r="E342" s="59"/>
      <c r="F342" s="59"/>
      <c r="G342" s="59"/>
      <c r="H342" s="59"/>
      <c r="I342" s="59"/>
      <c r="J342" s="59"/>
      <c r="K342" s="59"/>
      <c r="L342" s="59"/>
      <c r="M342" s="59"/>
      <c r="N342" s="59"/>
      <c r="O342" s="59"/>
      <c r="P342" s="62"/>
      <c r="Q342" s="62"/>
    </row>
    <row r="343">
      <c r="A343" s="59"/>
      <c r="B343" s="60"/>
      <c r="C343" s="60"/>
      <c r="D343" s="61"/>
      <c r="E343" s="59"/>
      <c r="F343" s="59"/>
      <c r="G343" s="59"/>
      <c r="H343" s="59"/>
      <c r="I343" s="59"/>
      <c r="J343" s="59"/>
      <c r="K343" s="59"/>
      <c r="L343" s="59"/>
      <c r="M343" s="59"/>
      <c r="N343" s="59"/>
      <c r="O343" s="59"/>
      <c r="P343" s="62"/>
      <c r="Q343" s="62"/>
    </row>
    <row r="344">
      <c r="A344" s="59"/>
      <c r="B344" s="60"/>
      <c r="C344" s="60"/>
      <c r="D344" s="61"/>
      <c r="E344" s="59"/>
      <c r="F344" s="59"/>
      <c r="G344" s="59"/>
      <c r="H344" s="59"/>
      <c r="I344" s="59"/>
      <c r="J344" s="59"/>
      <c r="K344" s="59"/>
      <c r="L344" s="59"/>
      <c r="M344" s="59"/>
      <c r="N344" s="59"/>
      <c r="O344" s="59"/>
      <c r="P344" s="62"/>
      <c r="Q344" s="62"/>
    </row>
    <row r="345">
      <c r="A345" s="59"/>
      <c r="B345" s="60"/>
      <c r="C345" s="60"/>
      <c r="D345" s="61"/>
      <c r="E345" s="59"/>
      <c r="F345" s="59"/>
      <c r="G345" s="59"/>
      <c r="H345" s="59"/>
      <c r="I345" s="59"/>
      <c r="J345" s="59"/>
      <c r="K345" s="59"/>
      <c r="L345" s="59"/>
      <c r="M345" s="59"/>
      <c r="N345" s="59"/>
      <c r="O345" s="59"/>
      <c r="P345" s="62"/>
      <c r="Q345" s="62"/>
    </row>
    <row r="346">
      <c r="A346" s="59"/>
      <c r="B346" s="60"/>
      <c r="C346" s="60"/>
      <c r="D346" s="61"/>
      <c r="E346" s="59"/>
      <c r="F346" s="59"/>
      <c r="G346" s="59"/>
      <c r="H346" s="59"/>
      <c r="I346" s="59"/>
      <c r="J346" s="59"/>
      <c r="K346" s="59"/>
      <c r="L346" s="59"/>
      <c r="M346" s="59"/>
      <c r="N346" s="59"/>
      <c r="O346" s="59"/>
      <c r="P346" s="62"/>
      <c r="Q346" s="62"/>
    </row>
    <row r="347">
      <c r="A347" s="59"/>
      <c r="B347" s="60"/>
      <c r="C347" s="60"/>
      <c r="D347" s="61"/>
      <c r="E347" s="59"/>
      <c r="F347" s="59"/>
      <c r="G347" s="59"/>
      <c r="H347" s="59"/>
      <c r="I347" s="59"/>
      <c r="J347" s="59"/>
      <c r="K347" s="59"/>
      <c r="L347" s="59"/>
      <c r="M347" s="59"/>
      <c r="N347" s="59"/>
      <c r="O347" s="59"/>
      <c r="P347" s="62"/>
      <c r="Q347" s="62"/>
    </row>
    <row r="348">
      <c r="A348" s="59"/>
      <c r="B348" s="60"/>
      <c r="C348" s="60"/>
      <c r="D348" s="61"/>
      <c r="E348" s="59"/>
      <c r="F348" s="59"/>
      <c r="G348" s="59"/>
      <c r="H348" s="59"/>
      <c r="I348" s="59"/>
      <c r="J348" s="59"/>
      <c r="K348" s="59"/>
      <c r="L348" s="59"/>
      <c r="M348" s="59"/>
      <c r="N348" s="59"/>
      <c r="O348" s="59"/>
      <c r="P348" s="62"/>
      <c r="Q348" s="62"/>
    </row>
    <row r="349">
      <c r="A349" s="59"/>
      <c r="B349" s="60"/>
      <c r="C349" s="60"/>
      <c r="D349" s="61"/>
      <c r="E349" s="59"/>
      <c r="F349" s="59"/>
      <c r="G349" s="59"/>
      <c r="H349" s="59"/>
      <c r="I349" s="59"/>
      <c r="J349" s="59"/>
      <c r="K349" s="59"/>
      <c r="L349" s="59"/>
      <c r="M349" s="59"/>
      <c r="N349" s="59"/>
      <c r="O349" s="59"/>
      <c r="P349" s="62"/>
      <c r="Q349" s="62"/>
    </row>
    <row r="350">
      <c r="A350" s="59"/>
      <c r="B350" s="60"/>
      <c r="C350" s="60"/>
      <c r="D350" s="61"/>
      <c r="E350" s="59"/>
      <c r="F350" s="59"/>
      <c r="G350" s="59"/>
      <c r="H350" s="59"/>
      <c r="I350" s="59"/>
      <c r="J350" s="59"/>
      <c r="K350" s="59"/>
      <c r="L350" s="59"/>
      <c r="M350" s="59"/>
      <c r="N350" s="59"/>
      <c r="O350" s="59"/>
      <c r="P350" s="62"/>
      <c r="Q350" s="62"/>
    </row>
    <row r="351">
      <c r="A351" s="59"/>
      <c r="B351" s="60"/>
      <c r="C351" s="60"/>
      <c r="D351" s="61"/>
      <c r="E351" s="59"/>
      <c r="F351" s="59"/>
      <c r="G351" s="59"/>
      <c r="H351" s="59"/>
      <c r="I351" s="59"/>
      <c r="J351" s="59"/>
      <c r="K351" s="59"/>
      <c r="L351" s="59"/>
      <c r="M351" s="59"/>
      <c r="N351" s="59"/>
      <c r="O351" s="59"/>
      <c r="P351" s="62"/>
      <c r="Q351" s="62"/>
    </row>
    <row r="352">
      <c r="A352" s="59"/>
      <c r="B352" s="60"/>
      <c r="C352" s="60"/>
      <c r="D352" s="61"/>
      <c r="E352" s="59"/>
      <c r="F352" s="59"/>
      <c r="G352" s="59"/>
      <c r="H352" s="59"/>
      <c r="I352" s="59"/>
      <c r="J352" s="59"/>
      <c r="K352" s="59"/>
      <c r="L352" s="59"/>
      <c r="M352" s="59"/>
      <c r="N352" s="59"/>
      <c r="O352" s="59"/>
      <c r="P352" s="62"/>
      <c r="Q352" s="62"/>
    </row>
    <row r="353">
      <c r="A353" s="59"/>
      <c r="B353" s="60"/>
      <c r="C353" s="60"/>
      <c r="D353" s="61"/>
      <c r="E353" s="59"/>
      <c r="F353" s="59"/>
      <c r="G353" s="59"/>
      <c r="H353" s="59"/>
      <c r="I353" s="59"/>
      <c r="J353" s="59"/>
      <c r="K353" s="59"/>
      <c r="L353" s="59"/>
      <c r="M353" s="59"/>
      <c r="N353" s="59"/>
      <c r="O353" s="59"/>
      <c r="P353" s="62"/>
      <c r="Q353" s="62"/>
    </row>
    <row r="354">
      <c r="A354" s="59"/>
      <c r="B354" s="60"/>
      <c r="C354" s="60"/>
      <c r="D354" s="61"/>
      <c r="E354" s="59"/>
      <c r="F354" s="59"/>
      <c r="G354" s="59"/>
      <c r="H354" s="59"/>
      <c r="I354" s="59"/>
      <c r="J354" s="59"/>
      <c r="K354" s="59"/>
      <c r="L354" s="59"/>
      <c r="M354" s="59"/>
      <c r="N354" s="59"/>
      <c r="O354" s="59"/>
      <c r="P354" s="62"/>
      <c r="Q354" s="62"/>
    </row>
    <row r="355">
      <c r="A355" s="59"/>
      <c r="B355" s="60"/>
      <c r="C355" s="60"/>
      <c r="D355" s="61"/>
      <c r="E355" s="59"/>
      <c r="F355" s="59"/>
      <c r="G355" s="59"/>
      <c r="H355" s="59"/>
      <c r="I355" s="59"/>
      <c r="J355" s="59"/>
      <c r="K355" s="59"/>
      <c r="L355" s="59"/>
      <c r="M355" s="59"/>
      <c r="N355" s="59"/>
      <c r="O355" s="59"/>
      <c r="P355" s="62"/>
      <c r="Q355" s="62"/>
    </row>
    <row r="356">
      <c r="A356" s="59"/>
      <c r="B356" s="60"/>
      <c r="C356" s="60"/>
      <c r="D356" s="61"/>
      <c r="E356" s="59"/>
      <c r="F356" s="59"/>
      <c r="G356" s="59"/>
      <c r="H356" s="59"/>
      <c r="I356" s="59"/>
      <c r="J356" s="59"/>
      <c r="K356" s="59"/>
      <c r="L356" s="59"/>
      <c r="M356" s="59"/>
      <c r="N356" s="59"/>
      <c r="O356" s="59"/>
      <c r="P356" s="62"/>
      <c r="Q356" s="62"/>
    </row>
    <row r="357">
      <c r="A357" s="59"/>
      <c r="B357" s="60"/>
      <c r="C357" s="60"/>
      <c r="D357" s="61"/>
      <c r="E357" s="59"/>
      <c r="F357" s="59"/>
      <c r="G357" s="59"/>
      <c r="H357" s="59"/>
      <c r="I357" s="59"/>
      <c r="J357" s="59"/>
      <c r="K357" s="59"/>
      <c r="L357" s="59"/>
      <c r="M357" s="59"/>
      <c r="N357" s="59"/>
      <c r="O357" s="59"/>
      <c r="P357" s="62"/>
      <c r="Q357" s="62"/>
    </row>
    <row r="358">
      <c r="A358" s="59"/>
      <c r="B358" s="60"/>
      <c r="C358" s="60"/>
      <c r="D358" s="61"/>
      <c r="E358" s="59"/>
      <c r="F358" s="59"/>
      <c r="G358" s="59"/>
      <c r="H358" s="59"/>
      <c r="I358" s="59"/>
      <c r="J358" s="59"/>
      <c r="K358" s="59"/>
      <c r="L358" s="59"/>
      <c r="M358" s="59"/>
      <c r="N358" s="59"/>
      <c r="O358" s="59"/>
      <c r="P358" s="62"/>
      <c r="Q358" s="62"/>
    </row>
    <row r="359">
      <c r="A359" s="59"/>
      <c r="B359" s="60"/>
      <c r="C359" s="60"/>
      <c r="D359" s="61"/>
      <c r="E359" s="59"/>
      <c r="F359" s="59"/>
      <c r="G359" s="59"/>
      <c r="H359" s="59"/>
      <c r="I359" s="59"/>
      <c r="J359" s="59"/>
      <c r="K359" s="59"/>
      <c r="L359" s="59"/>
      <c r="M359" s="59"/>
      <c r="N359" s="59"/>
      <c r="O359" s="59"/>
      <c r="P359" s="62"/>
      <c r="Q359" s="62"/>
    </row>
    <row r="360">
      <c r="A360" s="59"/>
      <c r="B360" s="60"/>
      <c r="C360" s="60"/>
      <c r="D360" s="61"/>
      <c r="E360" s="59"/>
      <c r="F360" s="59"/>
      <c r="G360" s="59"/>
      <c r="H360" s="59"/>
      <c r="I360" s="59"/>
      <c r="J360" s="59"/>
      <c r="K360" s="59"/>
      <c r="L360" s="59"/>
      <c r="M360" s="59"/>
      <c r="N360" s="59"/>
      <c r="O360" s="59"/>
      <c r="P360" s="62"/>
      <c r="Q360" s="62"/>
    </row>
    <row r="361">
      <c r="A361" s="59"/>
      <c r="B361" s="60"/>
      <c r="C361" s="60"/>
      <c r="D361" s="61"/>
      <c r="E361" s="59"/>
      <c r="F361" s="59"/>
      <c r="G361" s="59"/>
      <c r="H361" s="59"/>
      <c r="I361" s="59"/>
      <c r="J361" s="59"/>
      <c r="K361" s="59"/>
      <c r="L361" s="59"/>
      <c r="M361" s="59"/>
      <c r="N361" s="59"/>
      <c r="O361" s="59"/>
      <c r="P361" s="62"/>
      <c r="Q361" s="62"/>
    </row>
    <row r="362">
      <c r="A362" s="59"/>
      <c r="B362" s="60"/>
      <c r="C362" s="60"/>
      <c r="D362" s="61"/>
      <c r="E362" s="59"/>
      <c r="F362" s="59"/>
      <c r="G362" s="59"/>
      <c r="H362" s="59"/>
      <c r="I362" s="59"/>
      <c r="J362" s="59"/>
      <c r="K362" s="59"/>
      <c r="L362" s="59"/>
      <c r="M362" s="59"/>
      <c r="N362" s="59"/>
      <c r="O362" s="59"/>
      <c r="P362" s="62"/>
      <c r="Q362" s="62"/>
    </row>
    <row r="363">
      <c r="A363" s="59"/>
      <c r="B363" s="60"/>
      <c r="C363" s="60"/>
      <c r="D363" s="61"/>
      <c r="E363" s="59"/>
      <c r="F363" s="59"/>
      <c r="G363" s="59"/>
      <c r="H363" s="59"/>
      <c r="I363" s="59"/>
      <c r="J363" s="59"/>
      <c r="K363" s="59"/>
      <c r="L363" s="59"/>
      <c r="M363" s="59"/>
      <c r="N363" s="59"/>
      <c r="O363" s="59"/>
      <c r="P363" s="62"/>
      <c r="Q363" s="62"/>
    </row>
    <row r="364">
      <c r="A364" s="59"/>
      <c r="B364" s="60"/>
      <c r="C364" s="60"/>
      <c r="D364" s="61"/>
      <c r="E364" s="59"/>
      <c r="F364" s="59"/>
      <c r="G364" s="59"/>
      <c r="H364" s="59"/>
      <c r="I364" s="59"/>
      <c r="J364" s="59"/>
      <c r="K364" s="59"/>
      <c r="L364" s="59"/>
      <c r="M364" s="59"/>
      <c r="N364" s="59"/>
      <c r="O364" s="59"/>
      <c r="P364" s="62"/>
      <c r="Q364" s="62"/>
    </row>
    <row r="365">
      <c r="A365" s="59"/>
      <c r="B365" s="60"/>
      <c r="C365" s="60"/>
      <c r="D365" s="61"/>
      <c r="E365" s="59"/>
      <c r="F365" s="59"/>
      <c r="G365" s="59"/>
      <c r="H365" s="59"/>
      <c r="I365" s="59"/>
      <c r="J365" s="59"/>
      <c r="K365" s="59"/>
      <c r="L365" s="59"/>
      <c r="M365" s="59"/>
      <c r="N365" s="59"/>
      <c r="O365" s="59"/>
      <c r="P365" s="62"/>
      <c r="Q365" s="62"/>
    </row>
    <row r="366">
      <c r="A366" s="59"/>
      <c r="B366" s="60"/>
      <c r="C366" s="60"/>
      <c r="D366" s="61"/>
      <c r="E366" s="59"/>
      <c r="F366" s="59"/>
      <c r="G366" s="59"/>
      <c r="H366" s="59"/>
      <c r="I366" s="59"/>
      <c r="J366" s="59"/>
      <c r="K366" s="59"/>
      <c r="L366" s="59"/>
      <c r="M366" s="59"/>
      <c r="N366" s="59"/>
      <c r="O366" s="59"/>
      <c r="P366" s="62"/>
      <c r="Q366" s="62"/>
    </row>
    <row r="367">
      <c r="A367" s="59"/>
      <c r="B367" s="60"/>
      <c r="C367" s="60"/>
      <c r="D367" s="61"/>
      <c r="E367" s="59"/>
      <c r="F367" s="59"/>
      <c r="G367" s="59"/>
      <c r="H367" s="59"/>
      <c r="I367" s="59"/>
      <c r="J367" s="59"/>
      <c r="K367" s="59"/>
      <c r="L367" s="59"/>
      <c r="M367" s="59"/>
      <c r="N367" s="59"/>
      <c r="O367" s="59"/>
      <c r="P367" s="62"/>
      <c r="Q367" s="62"/>
    </row>
    <row r="368">
      <c r="A368" s="59"/>
      <c r="B368" s="60"/>
      <c r="C368" s="60"/>
      <c r="D368" s="61"/>
      <c r="E368" s="59"/>
      <c r="F368" s="59"/>
      <c r="G368" s="59"/>
      <c r="H368" s="59"/>
      <c r="I368" s="59"/>
      <c r="J368" s="59"/>
      <c r="K368" s="59"/>
      <c r="L368" s="59"/>
      <c r="M368" s="59"/>
      <c r="N368" s="59"/>
      <c r="O368" s="59"/>
      <c r="P368" s="62"/>
      <c r="Q368" s="62"/>
    </row>
    <row r="369">
      <c r="A369" s="59"/>
      <c r="B369" s="60"/>
      <c r="C369" s="60"/>
      <c r="D369" s="61"/>
      <c r="E369" s="59"/>
      <c r="F369" s="59"/>
      <c r="G369" s="59"/>
      <c r="H369" s="59"/>
      <c r="I369" s="59"/>
      <c r="J369" s="59"/>
      <c r="K369" s="59"/>
      <c r="L369" s="59"/>
      <c r="M369" s="59"/>
      <c r="N369" s="59"/>
      <c r="O369" s="59"/>
      <c r="P369" s="62"/>
      <c r="Q369" s="62"/>
    </row>
    <row r="370">
      <c r="A370" s="59"/>
      <c r="B370" s="60"/>
      <c r="C370" s="60"/>
      <c r="D370" s="61"/>
      <c r="E370" s="59"/>
      <c r="F370" s="59"/>
      <c r="G370" s="59"/>
      <c r="H370" s="59"/>
      <c r="I370" s="59"/>
      <c r="J370" s="59"/>
      <c r="K370" s="59"/>
      <c r="L370" s="59"/>
      <c r="M370" s="59"/>
      <c r="N370" s="59"/>
      <c r="O370" s="59"/>
      <c r="P370" s="62"/>
      <c r="Q370" s="62"/>
    </row>
    <row r="371">
      <c r="A371" s="59"/>
      <c r="B371" s="60"/>
      <c r="C371" s="60"/>
      <c r="D371" s="61"/>
      <c r="E371" s="59"/>
      <c r="F371" s="59"/>
      <c r="G371" s="59"/>
      <c r="H371" s="59"/>
      <c r="I371" s="59"/>
      <c r="J371" s="59"/>
      <c r="K371" s="59"/>
      <c r="L371" s="59"/>
      <c r="M371" s="59"/>
      <c r="N371" s="59"/>
      <c r="O371" s="59"/>
      <c r="P371" s="62"/>
      <c r="Q371" s="62"/>
    </row>
    <row r="372">
      <c r="A372" s="59"/>
      <c r="B372" s="60"/>
      <c r="C372" s="60"/>
      <c r="D372" s="61"/>
      <c r="E372" s="59"/>
      <c r="F372" s="59"/>
      <c r="G372" s="59"/>
      <c r="H372" s="59"/>
      <c r="I372" s="59"/>
      <c r="J372" s="59"/>
      <c r="K372" s="59"/>
      <c r="L372" s="59"/>
      <c r="M372" s="59"/>
      <c r="N372" s="59"/>
      <c r="O372" s="59"/>
      <c r="P372" s="62"/>
      <c r="Q372" s="62"/>
    </row>
    <row r="373">
      <c r="A373" s="59"/>
      <c r="B373" s="60"/>
      <c r="C373" s="60"/>
      <c r="D373" s="61"/>
      <c r="E373" s="59"/>
      <c r="F373" s="59"/>
      <c r="G373" s="59"/>
      <c r="H373" s="59"/>
      <c r="I373" s="59"/>
      <c r="J373" s="59"/>
      <c r="K373" s="59"/>
      <c r="L373" s="59"/>
      <c r="M373" s="59"/>
      <c r="N373" s="59"/>
      <c r="O373" s="59"/>
      <c r="P373" s="62"/>
      <c r="Q373" s="62"/>
    </row>
    <row r="374">
      <c r="A374" s="59"/>
      <c r="B374" s="60"/>
      <c r="C374" s="60"/>
      <c r="D374" s="61"/>
      <c r="E374" s="59"/>
      <c r="F374" s="59"/>
      <c r="G374" s="59"/>
      <c r="H374" s="59"/>
      <c r="I374" s="59"/>
      <c r="J374" s="59"/>
      <c r="K374" s="59"/>
      <c r="L374" s="59"/>
      <c r="M374" s="59"/>
      <c r="N374" s="59"/>
      <c r="O374" s="59"/>
      <c r="P374" s="62"/>
      <c r="Q374" s="62"/>
    </row>
    <row r="375">
      <c r="A375" s="59"/>
      <c r="B375" s="60"/>
      <c r="C375" s="60"/>
      <c r="D375" s="61"/>
      <c r="E375" s="59"/>
      <c r="F375" s="59"/>
      <c r="G375" s="59"/>
      <c r="H375" s="59"/>
      <c r="I375" s="59"/>
      <c r="J375" s="59"/>
      <c r="K375" s="59"/>
      <c r="L375" s="59"/>
      <c r="M375" s="59"/>
      <c r="N375" s="59"/>
      <c r="O375" s="59"/>
      <c r="P375" s="62"/>
      <c r="Q375" s="62"/>
    </row>
    <row r="376">
      <c r="A376" s="59"/>
      <c r="B376" s="60"/>
      <c r="C376" s="60"/>
      <c r="D376" s="61"/>
      <c r="E376" s="59"/>
      <c r="F376" s="59"/>
      <c r="G376" s="59"/>
      <c r="H376" s="59"/>
      <c r="I376" s="59"/>
      <c r="J376" s="59"/>
      <c r="K376" s="59"/>
      <c r="L376" s="59"/>
      <c r="M376" s="59"/>
      <c r="N376" s="59"/>
      <c r="O376" s="59"/>
      <c r="P376" s="62"/>
      <c r="Q376" s="62"/>
    </row>
    <row r="377">
      <c r="A377" s="59"/>
      <c r="B377" s="60"/>
      <c r="C377" s="60"/>
      <c r="D377" s="61"/>
      <c r="E377" s="59"/>
      <c r="F377" s="59"/>
      <c r="G377" s="59"/>
      <c r="H377" s="59"/>
      <c r="I377" s="59"/>
      <c r="J377" s="59"/>
      <c r="K377" s="59"/>
      <c r="L377" s="59"/>
      <c r="M377" s="59"/>
      <c r="N377" s="59"/>
      <c r="O377" s="59"/>
      <c r="P377" s="62"/>
      <c r="Q377" s="62"/>
    </row>
    <row r="378">
      <c r="A378" s="59"/>
      <c r="B378" s="60"/>
      <c r="C378" s="60"/>
      <c r="D378" s="61"/>
      <c r="E378" s="59"/>
      <c r="F378" s="59"/>
      <c r="G378" s="59"/>
      <c r="H378" s="59"/>
      <c r="I378" s="59"/>
      <c r="J378" s="59"/>
      <c r="K378" s="59"/>
      <c r="L378" s="59"/>
      <c r="M378" s="59"/>
      <c r="N378" s="59"/>
      <c r="O378" s="59"/>
      <c r="P378" s="62"/>
      <c r="Q378" s="62"/>
    </row>
    <row r="379">
      <c r="A379" s="59"/>
      <c r="B379" s="60"/>
      <c r="C379" s="60"/>
      <c r="D379" s="61"/>
      <c r="E379" s="59"/>
      <c r="F379" s="59"/>
      <c r="G379" s="59"/>
      <c r="H379" s="59"/>
      <c r="I379" s="59"/>
      <c r="J379" s="59"/>
      <c r="K379" s="59"/>
      <c r="L379" s="59"/>
      <c r="M379" s="59"/>
      <c r="N379" s="59"/>
      <c r="O379" s="59"/>
      <c r="P379" s="62"/>
      <c r="Q379" s="62"/>
    </row>
    <row r="380">
      <c r="A380" s="59"/>
      <c r="B380" s="60"/>
      <c r="C380" s="60"/>
      <c r="D380" s="61"/>
      <c r="E380" s="59"/>
      <c r="F380" s="59"/>
      <c r="G380" s="59"/>
      <c r="H380" s="59"/>
      <c r="I380" s="59"/>
      <c r="J380" s="59"/>
      <c r="K380" s="59"/>
      <c r="L380" s="59"/>
      <c r="M380" s="59"/>
      <c r="N380" s="59"/>
      <c r="O380" s="59"/>
      <c r="P380" s="62"/>
      <c r="Q380" s="62"/>
    </row>
    <row r="381">
      <c r="A381" s="59"/>
      <c r="B381" s="60"/>
      <c r="C381" s="60"/>
      <c r="D381" s="61"/>
      <c r="E381" s="59"/>
      <c r="F381" s="59"/>
      <c r="G381" s="59"/>
      <c r="H381" s="59"/>
      <c r="I381" s="59"/>
      <c r="J381" s="59"/>
      <c r="K381" s="59"/>
      <c r="L381" s="59"/>
      <c r="M381" s="59"/>
      <c r="N381" s="59"/>
      <c r="O381" s="59"/>
      <c r="P381" s="62"/>
      <c r="Q381" s="62"/>
    </row>
    <row r="382">
      <c r="A382" s="59"/>
      <c r="B382" s="60"/>
      <c r="C382" s="60"/>
      <c r="D382" s="61"/>
      <c r="E382" s="59"/>
      <c r="F382" s="59"/>
      <c r="G382" s="59"/>
      <c r="H382" s="59"/>
      <c r="I382" s="59"/>
      <c r="J382" s="59"/>
      <c r="K382" s="59"/>
      <c r="L382" s="59"/>
      <c r="M382" s="59"/>
      <c r="N382" s="59"/>
      <c r="O382" s="59"/>
      <c r="P382" s="62"/>
      <c r="Q382" s="62"/>
    </row>
    <row r="383">
      <c r="A383" s="59"/>
      <c r="B383" s="60"/>
      <c r="C383" s="60"/>
      <c r="D383" s="61"/>
      <c r="E383" s="59"/>
      <c r="F383" s="59"/>
      <c r="G383" s="59"/>
      <c r="H383" s="59"/>
      <c r="I383" s="59"/>
      <c r="J383" s="59"/>
      <c r="K383" s="59"/>
      <c r="L383" s="59"/>
      <c r="M383" s="59"/>
      <c r="N383" s="59"/>
      <c r="O383" s="59"/>
      <c r="P383" s="62"/>
      <c r="Q383" s="62"/>
    </row>
    <row r="384">
      <c r="A384" s="59"/>
      <c r="B384" s="60"/>
      <c r="C384" s="60"/>
      <c r="D384" s="61"/>
      <c r="E384" s="59"/>
      <c r="F384" s="59"/>
      <c r="G384" s="59"/>
      <c r="H384" s="59"/>
      <c r="I384" s="59"/>
      <c r="J384" s="59"/>
      <c r="K384" s="59"/>
      <c r="L384" s="59"/>
      <c r="M384" s="59"/>
      <c r="N384" s="59"/>
      <c r="O384" s="59"/>
      <c r="P384" s="62"/>
      <c r="Q384" s="62"/>
    </row>
    <row r="385">
      <c r="A385" s="59"/>
      <c r="B385" s="60"/>
      <c r="C385" s="60"/>
      <c r="D385" s="61"/>
      <c r="E385" s="59"/>
      <c r="F385" s="59"/>
      <c r="G385" s="59"/>
      <c r="H385" s="59"/>
      <c r="I385" s="59"/>
      <c r="J385" s="59"/>
      <c r="K385" s="59"/>
      <c r="L385" s="59"/>
      <c r="M385" s="59"/>
      <c r="N385" s="59"/>
      <c r="O385" s="59"/>
      <c r="P385" s="62"/>
      <c r="Q385" s="62"/>
    </row>
    <row r="386">
      <c r="A386" s="59"/>
      <c r="B386" s="60"/>
      <c r="C386" s="60"/>
      <c r="D386" s="61"/>
      <c r="E386" s="59"/>
      <c r="F386" s="59"/>
      <c r="G386" s="59"/>
      <c r="H386" s="59"/>
      <c r="I386" s="59"/>
      <c r="J386" s="59"/>
      <c r="K386" s="59"/>
      <c r="L386" s="59"/>
      <c r="M386" s="59"/>
      <c r="N386" s="59"/>
      <c r="O386" s="59"/>
      <c r="P386" s="62"/>
      <c r="Q386" s="62"/>
    </row>
    <row r="387">
      <c r="A387" s="59"/>
      <c r="B387" s="60"/>
      <c r="C387" s="60"/>
      <c r="D387" s="61"/>
      <c r="E387" s="59"/>
      <c r="F387" s="59"/>
      <c r="G387" s="59"/>
      <c r="H387" s="59"/>
      <c r="I387" s="59"/>
      <c r="J387" s="59"/>
      <c r="K387" s="59"/>
      <c r="L387" s="59"/>
      <c r="M387" s="59"/>
      <c r="N387" s="59"/>
      <c r="O387" s="59"/>
      <c r="P387" s="62"/>
      <c r="Q387" s="62"/>
    </row>
    <row r="388">
      <c r="A388" s="59"/>
      <c r="B388" s="60"/>
      <c r="C388" s="60"/>
      <c r="D388" s="61"/>
      <c r="E388" s="59"/>
      <c r="F388" s="59"/>
      <c r="G388" s="59"/>
      <c r="H388" s="59"/>
      <c r="I388" s="59"/>
      <c r="J388" s="59"/>
      <c r="K388" s="59"/>
      <c r="L388" s="59"/>
      <c r="M388" s="59"/>
      <c r="N388" s="59"/>
      <c r="O388" s="59"/>
      <c r="P388" s="62"/>
      <c r="Q388" s="62"/>
    </row>
    <row r="389">
      <c r="A389" s="59"/>
      <c r="B389" s="60"/>
      <c r="C389" s="60"/>
      <c r="D389" s="61"/>
      <c r="E389" s="59"/>
      <c r="F389" s="59"/>
      <c r="G389" s="59"/>
      <c r="H389" s="59"/>
      <c r="I389" s="59"/>
      <c r="J389" s="59"/>
      <c r="K389" s="59"/>
      <c r="L389" s="59"/>
      <c r="M389" s="59"/>
      <c r="N389" s="59"/>
      <c r="O389" s="59"/>
      <c r="P389" s="62"/>
      <c r="Q389" s="62"/>
    </row>
    <row r="390">
      <c r="A390" s="59"/>
      <c r="B390" s="60"/>
      <c r="C390" s="60"/>
      <c r="D390" s="61"/>
      <c r="E390" s="59"/>
      <c r="F390" s="59"/>
      <c r="G390" s="59"/>
      <c r="H390" s="59"/>
      <c r="I390" s="59"/>
      <c r="J390" s="59"/>
      <c r="K390" s="59"/>
      <c r="L390" s="59"/>
      <c r="M390" s="59"/>
      <c r="N390" s="59"/>
      <c r="O390" s="59"/>
      <c r="P390" s="62"/>
      <c r="Q390" s="62"/>
    </row>
    <row r="391">
      <c r="A391" s="59"/>
      <c r="B391" s="60"/>
      <c r="C391" s="60"/>
      <c r="D391" s="61"/>
      <c r="E391" s="59"/>
      <c r="F391" s="59"/>
      <c r="G391" s="59"/>
      <c r="H391" s="59"/>
      <c r="I391" s="59"/>
      <c r="J391" s="59"/>
      <c r="K391" s="59"/>
      <c r="L391" s="59"/>
      <c r="M391" s="59"/>
      <c r="N391" s="59"/>
      <c r="O391" s="59"/>
      <c r="P391" s="62"/>
      <c r="Q391" s="62"/>
    </row>
    <row r="392">
      <c r="A392" s="59"/>
      <c r="B392" s="60"/>
      <c r="C392" s="60"/>
      <c r="D392" s="61"/>
      <c r="E392" s="59"/>
      <c r="F392" s="59"/>
      <c r="G392" s="59"/>
      <c r="H392" s="59"/>
      <c r="I392" s="59"/>
      <c r="J392" s="59"/>
      <c r="K392" s="59"/>
      <c r="L392" s="59"/>
      <c r="M392" s="59"/>
      <c r="N392" s="59"/>
      <c r="O392" s="59"/>
      <c r="P392" s="62"/>
      <c r="Q392" s="62"/>
    </row>
    <row r="393">
      <c r="A393" s="59"/>
      <c r="B393" s="60"/>
      <c r="C393" s="60"/>
      <c r="D393" s="61"/>
      <c r="E393" s="59"/>
      <c r="F393" s="59"/>
      <c r="G393" s="59"/>
      <c r="H393" s="59"/>
      <c r="I393" s="59"/>
      <c r="J393" s="59"/>
      <c r="K393" s="59"/>
      <c r="L393" s="59"/>
      <c r="M393" s="59"/>
      <c r="N393" s="59"/>
      <c r="O393" s="59"/>
      <c r="P393" s="62"/>
      <c r="Q393" s="62"/>
    </row>
    <row r="394">
      <c r="A394" s="59"/>
      <c r="B394" s="60"/>
      <c r="C394" s="60"/>
      <c r="D394" s="61"/>
      <c r="E394" s="59"/>
      <c r="F394" s="59"/>
      <c r="G394" s="59"/>
      <c r="H394" s="59"/>
      <c r="I394" s="59"/>
      <c r="J394" s="59"/>
      <c r="K394" s="59"/>
      <c r="L394" s="59"/>
      <c r="M394" s="59"/>
      <c r="N394" s="59"/>
      <c r="O394" s="59"/>
      <c r="P394" s="62"/>
      <c r="Q394" s="62"/>
    </row>
    <row r="395">
      <c r="A395" s="59"/>
      <c r="B395" s="60"/>
      <c r="C395" s="60"/>
      <c r="D395" s="61"/>
      <c r="E395" s="59"/>
      <c r="F395" s="59"/>
      <c r="G395" s="59"/>
      <c r="H395" s="59"/>
      <c r="I395" s="59"/>
      <c r="J395" s="59"/>
      <c r="K395" s="59"/>
      <c r="L395" s="59"/>
      <c r="M395" s="59"/>
      <c r="N395" s="59"/>
      <c r="O395" s="59"/>
      <c r="P395" s="62"/>
      <c r="Q395" s="62"/>
    </row>
    <row r="396">
      <c r="A396" s="59"/>
      <c r="B396" s="60"/>
      <c r="C396" s="60"/>
      <c r="D396" s="61"/>
      <c r="E396" s="59"/>
      <c r="F396" s="59"/>
      <c r="G396" s="59"/>
      <c r="H396" s="59"/>
      <c r="I396" s="59"/>
      <c r="J396" s="59"/>
      <c r="K396" s="59"/>
      <c r="L396" s="59"/>
      <c r="M396" s="59"/>
      <c r="N396" s="59"/>
      <c r="O396" s="59"/>
      <c r="P396" s="62"/>
      <c r="Q396" s="62"/>
    </row>
    <row r="397">
      <c r="A397" s="59"/>
      <c r="B397" s="60"/>
      <c r="C397" s="60"/>
      <c r="D397" s="61"/>
      <c r="E397" s="59"/>
      <c r="F397" s="59"/>
      <c r="G397" s="59"/>
      <c r="H397" s="59"/>
      <c r="I397" s="59"/>
      <c r="J397" s="59"/>
      <c r="K397" s="59"/>
      <c r="L397" s="59"/>
      <c r="M397" s="59"/>
      <c r="N397" s="59"/>
      <c r="O397" s="59"/>
      <c r="P397" s="62"/>
      <c r="Q397" s="62"/>
    </row>
    <row r="398">
      <c r="A398" s="59"/>
      <c r="B398" s="60"/>
      <c r="C398" s="60"/>
      <c r="D398" s="61"/>
      <c r="E398" s="59"/>
      <c r="F398" s="59"/>
      <c r="G398" s="59"/>
      <c r="H398" s="59"/>
      <c r="I398" s="59"/>
      <c r="J398" s="59"/>
      <c r="K398" s="59"/>
      <c r="L398" s="59"/>
      <c r="M398" s="59"/>
      <c r="N398" s="59"/>
      <c r="O398" s="59"/>
      <c r="P398" s="62"/>
      <c r="Q398" s="62"/>
    </row>
    <row r="399">
      <c r="A399" s="59"/>
      <c r="B399" s="60"/>
      <c r="C399" s="60"/>
      <c r="D399" s="61"/>
      <c r="E399" s="59"/>
      <c r="F399" s="59"/>
      <c r="G399" s="59"/>
      <c r="H399" s="59"/>
      <c r="I399" s="59"/>
      <c r="J399" s="59"/>
      <c r="K399" s="59"/>
      <c r="L399" s="59"/>
      <c r="M399" s="59"/>
      <c r="N399" s="59"/>
      <c r="O399" s="59"/>
      <c r="P399" s="62"/>
      <c r="Q399" s="62"/>
    </row>
    <row r="400">
      <c r="A400" s="59"/>
      <c r="B400" s="60"/>
      <c r="C400" s="60"/>
      <c r="D400" s="61"/>
      <c r="E400" s="59"/>
      <c r="F400" s="59"/>
      <c r="G400" s="59"/>
      <c r="H400" s="59"/>
      <c r="I400" s="59"/>
      <c r="J400" s="59"/>
      <c r="K400" s="59"/>
      <c r="L400" s="59"/>
      <c r="M400" s="59"/>
      <c r="N400" s="59"/>
      <c r="O400" s="59"/>
      <c r="P400" s="62"/>
      <c r="Q400" s="62"/>
    </row>
    <row r="401">
      <c r="A401" s="59"/>
      <c r="B401" s="60"/>
      <c r="C401" s="60"/>
      <c r="D401" s="61"/>
      <c r="E401" s="59"/>
      <c r="F401" s="59"/>
      <c r="G401" s="59"/>
      <c r="H401" s="59"/>
      <c r="I401" s="59"/>
      <c r="J401" s="59"/>
      <c r="K401" s="59"/>
      <c r="L401" s="59"/>
      <c r="M401" s="59"/>
      <c r="N401" s="59"/>
      <c r="O401" s="59"/>
      <c r="P401" s="62"/>
      <c r="Q401" s="62"/>
    </row>
    <row r="402">
      <c r="A402" s="59"/>
      <c r="B402" s="60"/>
      <c r="C402" s="60"/>
      <c r="D402" s="61"/>
      <c r="E402" s="59"/>
      <c r="F402" s="59"/>
      <c r="G402" s="59"/>
      <c r="H402" s="59"/>
      <c r="I402" s="59"/>
      <c r="J402" s="59"/>
      <c r="K402" s="59"/>
      <c r="L402" s="59"/>
      <c r="M402" s="59"/>
      <c r="N402" s="59"/>
      <c r="O402" s="59"/>
      <c r="P402" s="62"/>
      <c r="Q402" s="62"/>
    </row>
    <row r="403">
      <c r="A403" s="59"/>
      <c r="B403" s="60"/>
      <c r="C403" s="60"/>
      <c r="D403" s="61"/>
      <c r="E403" s="59"/>
      <c r="F403" s="59"/>
      <c r="G403" s="59"/>
      <c r="H403" s="59"/>
      <c r="I403" s="59"/>
      <c r="J403" s="59"/>
      <c r="K403" s="59"/>
      <c r="L403" s="59"/>
      <c r="M403" s="59"/>
      <c r="N403" s="59"/>
      <c r="O403" s="59"/>
      <c r="P403" s="62"/>
      <c r="Q403" s="62"/>
    </row>
    <row r="404">
      <c r="A404" s="59"/>
      <c r="B404" s="60"/>
      <c r="C404" s="60"/>
      <c r="D404" s="61"/>
      <c r="E404" s="59"/>
      <c r="F404" s="59"/>
      <c r="G404" s="59"/>
      <c r="H404" s="59"/>
      <c r="I404" s="59"/>
      <c r="J404" s="59"/>
      <c r="K404" s="59"/>
      <c r="L404" s="59"/>
      <c r="M404" s="59"/>
      <c r="N404" s="59"/>
      <c r="O404" s="59"/>
      <c r="P404" s="62"/>
      <c r="Q404" s="62"/>
    </row>
    <row r="405">
      <c r="A405" s="59"/>
      <c r="B405" s="60"/>
      <c r="C405" s="60"/>
      <c r="D405" s="61"/>
      <c r="E405" s="59"/>
      <c r="F405" s="59"/>
      <c r="G405" s="59"/>
      <c r="H405" s="59"/>
      <c r="I405" s="59"/>
      <c r="J405" s="59"/>
      <c r="K405" s="59"/>
      <c r="L405" s="59"/>
      <c r="M405" s="59"/>
      <c r="N405" s="59"/>
      <c r="O405" s="59"/>
      <c r="P405" s="62"/>
      <c r="Q405" s="62"/>
    </row>
    <row r="406">
      <c r="A406" s="59"/>
      <c r="B406" s="60"/>
      <c r="C406" s="60"/>
      <c r="D406" s="61"/>
      <c r="E406" s="59"/>
      <c r="F406" s="59"/>
      <c r="G406" s="59"/>
      <c r="H406" s="59"/>
      <c r="I406" s="59"/>
      <c r="J406" s="59"/>
      <c r="K406" s="59"/>
      <c r="L406" s="59"/>
      <c r="M406" s="59"/>
      <c r="N406" s="59"/>
      <c r="O406" s="59"/>
      <c r="P406" s="62"/>
      <c r="Q406" s="62"/>
    </row>
    <row r="407">
      <c r="A407" s="59"/>
      <c r="B407" s="60"/>
      <c r="C407" s="60"/>
      <c r="D407" s="61"/>
      <c r="E407" s="59"/>
      <c r="F407" s="59"/>
      <c r="G407" s="59"/>
      <c r="H407" s="59"/>
      <c r="I407" s="59"/>
      <c r="J407" s="59"/>
      <c r="K407" s="59"/>
      <c r="L407" s="59"/>
      <c r="M407" s="59"/>
      <c r="N407" s="59"/>
      <c r="O407" s="59"/>
      <c r="P407" s="62"/>
      <c r="Q407" s="62"/>
    </row>
    <row r="408">
      <c r="A408" s="59"/>
      <c r="B408" s="60"/>
      <c r="C408" s="60"/>
      <c r="D408" s="61"/>
      <c r="E408" s="59"/>
      <c r="F408" s="59"/>
      <c r="G408" s="59"/>
      <c r="H408" s="59"/>
      <c r="I408" s="59"/>
      <c r="J408" s="59"/>
      <c r="K408" s="59"/>
      <c r="L408" s="59"/>
      <c r="M408" s="59"/>
      <c r="N408" s="59"/>
      <c r="O408" s="59"/>
      <c r="P408" s="62"/>
      <c r="Q408" s="62"/>
    </row>
  </sheetData>
  <mergeCells count="120">
    <mergeCell ref="A9:A10"/>
    <mergeCell ref="B9:B10"/>
    <mergeCell ref="C9:C10"/>
    <mergeCell ref="D9:D10"/>
    <mergeCell ref="E9:E10"/>
    <mergeCell ref="F9:F10"/>
    <mergeCell ref="G9:G10"/>
    <mergeCell ref="A11:A12"/>
    <mergeCell ref="B11:B12"/>
    <mergeCell ref="C11:C12"/>
    <mergeCell ref="D11:D12"/>
    <mergeCell ref="E11:E12"/>
    <mergeCell ref="F11:F12"/>
    <mergeCell ref="G11:G12"/>
    <mergeCell ref="A15:A16"/>
    <mergeCell ref="B15:B16"/>
    <mergeCell ref="C15:C16"/>
    <mergeCell ref="D15:D16"/>
    <mergeCell ref="E15:E16"/>
    <mergeCell ref="F15:F16"/>
    <mergeCell ref="G15:G16"/>
    <mergeCell ref="A19:A20"/>
    <mergeCell ref="B19:B20"/>
    <mergeCell ref="C19:C20"/>
    <mergeCell ref="D19:D20"/>
    <mergeCell ref="E19:E20"/>
    <mergeCell ref="F19:F20"/>
    <mergeCell ref="G19:G20"/>
    <mergeCell ref="A17:A18"/>
    <mergeCell ref="B17:B18"/>
    <mergeCell ref="C17:C18"/>
    <mergeCell ref="D17:D18"/>
    <mergeCell ref="E17:E18"/>
    <mergeCell ref="F17:F18"/>
    <mergeCell ref="G17:G18"/>
    <mergeCell ref="H3:H4"/>
    <mergeCell ref="I3:I4"/>
    <mergeCell ref="J3:J4"/>
    <mergeCell ref="K3:K4"/>
    <mergeCell ref="L3:N3"/>
    <mergeCell ref="O3:O4"/>
    <mergeCell ref="P3:P4"/>
    <mergeCell ref="Q3:Q4"/>
    <mergeCell ref="A3:A4"/>
    <mergeCell ref="B3:B4"/>
    <mergeCell ref="C3:C4"/>
    <mergeCell ref="D3:D4"/>
    <mergeCell ref="E3:E4"/>
    <mergeCell ref="F3:F4"/>
    <mergeCell ref="G3:G4"/>
    <mergeCell ref="A5:A6"/>
    <mergeCell ref="B5:B6"/>
    <mergeCell ref="C5:C6"/>
    <mergeCell ref="D5:D6"/>
    <mergeCell ref="E5:E6"/>
    <mergeCell ref="F5:F6"/>
    <mergeCell ref="G5:G6"/>
    <mergeCell ref="J7:J8"/>
    <mergeCell ref="K7:K8"/>
    <mergeCell ref="A7:A8"/>
    <mergeCell ref="B7:B8"/>
    <mergeCell ref="C7:C8"/>
    <mergeCell ref="D7:D8"/>
    <mergeCell ref="E7:E8"/>
    <mergeCell ref="F7:F8"/>
    <mergeCell ref="G7:G8"/>
    <mergeCell ref="A13:A14"/>
    <mergeCell ref="B13:B14"/>
    <mergeCell ref="C13:C14"/>
    <mergeCell ref="D13:D14"/>
    <mergeCell ref="E13:E14"/>
    <mergeCell ref="F13:F14"/>
    <mergeCell ref="G13:G14"/>
    <mergeCell ref="O9:O10"/>
    <mergeCell ref="O13:O14"/>
    <mergeCell ref="O5:O6"/>
    <mergeCell ref="P5:P6"/>
    <mergeCell ref="Q5:Q6"/>
    <mergeCell ref="O7:O8"/>
    <mergeCell ref="P7:P8"/>
    <mergeCell ref="P9:P10"/>
    <mergeCell ref="P11:P12"/>
    <mergeCell ref="P13:P14"/>
    <mergeCell ref="J15:J16"/>
    <mergeCell ref="K15:K16"/>
    <mergeCell ref="H17:H18"/>
    <mergeCell ref="I17:I18"/>
    <mergeCell ref="J17:J18"/>
    <mergeCell ref="K17:K18"/>
    <mergeCell ref="H19:H20"/>
    <mergeCell ref="I19:I20"/>
    <mergeCell ref="J19:J20"/>
    <mergeCell ref="K19:K20"/>
    <mergeCell ref="H5:H6"/>
    <mergeCell ref="I5:I6"/>
    <mergeCell ref="J5:J6"/>
    <mergeCell ref="K5:K6"/>
    <mergeCell ref="L5:L20"/>
    <mergeCell ref="H7:H8"/>
    <mergeCell ref="I7:I8"/>
    <mergeCell ref="H9:H10"/>
    <mergeCell ref="I9:I10"/>
    <mergeCell ref="J9:J10"/>
    <mergeCell ref="K9:K10"/>
    <mergeCell ref="H11:H12"/>
    <mergeCell ref="I11:I12"/>
    <mergeCell ref="J11:J12"/>
    <mergeCell ref="K11:K12"/>
    <mergeCell ref="H13:H14"/>
    <mergeCell ref="I13:I14"/>
    <mergeCell ref="J13:J14"/>
    <mergeCell ref="K13:K14"/>
    <mergeCell ref="H15:H16"/>
    <mergeCell ref="I15:I16"/>
    <mergeCell ref="O15:O16"/>
    <mergeCell ref="P15:P16"/>
    <mergeCell ref="O17:O18"/>
    <mergeCell ref="P17:P18"/>
    <mergeCell ref="O19:O20"/>
    <mergeCell ref="P19:P20"/>
  </mergeCells>
  <dataValidations>
    <dataValidation type="list" allowBlank="1" showErrorMessage="1" sqref="F11 F13">
      <formula1>"Actor,Actress,Animal Hobbies,Animator,Art,Author,Beauty,Business,Buzzer,Chef,Comedy,Community,Couple,Culinary,Dads,Dance,Design,DJ Set,Drama,Dubber,Education,Entertainment,Entrepreneur,Family,Fanbase,Fashion,Film,Financial,Foodies,Gaming,Health,Hijab,Home"&amp;" Cook,Illustrator,Informative,Kids,Lifestyle,Marvel Fans,Media,Menfess,Mom,Movie,Movie Maker,Movie Reviewer,Music,Musician,News,Otomotif,Otomotive,Parenting,Parents,Photography,Public Figure,Self Growth,Singer,Sneakers,Sport,Storyteller,Technology,Travel,"&amp;"Visual Art,Vlog,Young Couple,Young Professional,Kpop,Gamers &amp; Lifestyle,Fashion &amp; Lifestyle,Sport &amp; Lifestyle,Beauty &amp; Lifestyle,DIY,Home Living,Expert,athlete,Working Mom,Cosplayer,Make Up Artist,Pet Content Creator,Bapak-bapak"</formula1>
    </dataValidation>
    <dataValidation type="list" allowBlank="1" showErrorMessage="1" sqref="E5 E7 E9 E11 E13 E15 E17 E19">
      <formula1>"Instagram,TikTok,Youtube,X ( Twitter),Facebook"</formula1>
    </dataValidation>
    <dataValidation type="list" allowBlank="1" showErrorMessage="1" sqref="F5 F7 F9 F15 F17 F19">
      <formula1>"Actor,Actress,Animal Hobbies,Animator,Art,Author,Beauty,Business,Buzzer,Chef,Comedy,Community,Couple,Culinary,Dads,Dance,Design,DJ Set,Drama,Dubber,Education,Entertainment,Entrepreneur,Family,Fanbase,Fashion,Film,Financial,Foodies,Gaming,Health,Hijab,Home"&amp;" Cook,Illustrator,Informative,Kids,Lifestyle,Marvel Fans,Media,Menfess,Mom,Movie,Movie Maker,Movie Reviewer,Music,Musician,News,Otomotif,Otomotive,Parenting,Parents,Photography,Public Figure,Self Growth,Singer,Sneakers,Sport,Storyteller,Technology,Travel,"&amp;"Visual Art,Vlog,Young Couple,Young Professional,Kpop,Gamers &amp; Lifestyle,Fashion &amp; Lifestyle,Sport &amp; Lifestyle,Beauty &amp; Lifestyle,DIY,Home Living,Expert,athlete,Working Mom,Cosplayer,Make Up Artist"</formula1>
    </dataValidation>
    <dataValidation type="list" allowBlank="1" showErrorMessage="1" sqref="B5 B7 B9 B11 B13 B15 B17 B19">
      <formula1>"Approved by Client,Unavailable,New List,HOLD,Rejected,AVAILABLE,Approaching,Req Client,Need Confirmation,Need Rate Nego,Referensi,Replied"</formula1>
    </dataValidation>
  </dataValidations>
  <hyperlinks>
    <hyperlink r:id="rId1" ref="D5"/>
    <hyperlink r:id="rId2" ref="D7"/>
    <hyperlink r:id="rId3" ref="D9"/>
    <hyperlink r:id="rId4" ref="D11"/>
    <hyperlink r:id="rId5" ref="D13"/>
    <hyperlink r:id="rId6" ref="D15"/>
    <hyperlink r:id="rId7" ref="D17"/>
    <hyperlink r:id="rId8" ref="D19"/>
  </hyperlinks>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6.0" topLeftCell="H7" activePane="bottomRight" state="frozen"/>
      <selection activeCell="H1" sqref="H1" pane="topRight"/>
      <selection activeCell="A7" sqref="A7" pane="bottomLeft"/>
      <selection activeCell="H7" sqref="H7" pane="bottomRight"/>
    </sheetView>
  </sheetViews>
  <sheetFormatPr customHeight="1" defaultColWidth="12.63" defaultRowHeight="15.75"/>
  <cols>
    <col customWidth="1" min="7" max="7" width="13.75"/>
    <col customWidth="1" min="9" max="10" width="19.88"/>
  </cols>
  <sheetData>
    <row r="1">
      <c r="A1" s="77"/>
      <c r="B1" s="77"/>
      <c r="C1" s="78" t="s">
        <v>121</v>
      </c>
      <c r="D1" s="79" t="s">
        <v>122</v>
      </c>
      <c r="E1" s="80"/>
      <c r="F1" s="80"/>
      <c r="G1" s="80"/>
      <c r="H1" s="81"/>
      <c r="I1" s="82"/>
      <c r="J1" s="82"/>
      <c r="K1" s="82"/>
      <c r="L1" s="83"/>
      <c r="M1" s="80"/>
      <c r="N1" s="84"/>
      <c r="O1" s="82"/>
      <c r="P1" s="82"/>
      <c r="Q1" s="82"/>
      <c r="R1" s="82"/>
      <c r="S1" s="82"/>
      <c r="T1" s="82"/>
      <c r="U1" s="82"/>
      <c r="V1" s="82"/>
      <c r="W1" s="82"/>
    </row>
    <row r="2">
      <c r="A2" s="77"/>
      <c r="B2" s="77"/>
      <c r="C2" s="78" t="s">
        <v>123</v>
      </c>
      <c r="D2" s="79" t="s">
        <v>124</v>
      </c>
      <c r="E2" s="80"/>
      <c r="F2" s="80"/>
      <c r="G2" s="80"/>
      <c r="H2" s="81"/>
      <c r="I2" s="82"/>
      <c r="J2" s="82"/>
      <c r="K2" s="82"/>
      <c r="L2" s="83"/>
      <c r="M2" s="80"/>
      <c r="N2" s="84"/>
      <c r="O2" s="82"/>
      <c r="P2" s="82"/>
      <c r="Q2" s="82"/>
      <c r="R2" s="82"/>
      <c r="S2" s="82"/>
      <c r="T2" s="82"/>
      <c r="U2" s="82"/>
      <c r="V2" s="82"/>
      <c r="W2" s="82"/>
    </row>
    <row r="3">
      <c r="A3" s="77"/>
      <c r="B3" s="77"/>
      <c r="C3" s="85" t="s">
        <v>125</v>
      </c>
      <c r="D3" s="86"/>
      <c r="E3" s="87"/>
      <c r="F3" s="87"/>
      <c r="G3" s="87"/>
      <c r="H3" s="88"/>
      <c r="I3" s="89"/>
      <c r="J3" s="89"/>
      <c r="K3" s="89"/>
      <c r="L3" s="86"/>
      <c r="M3" s="87"/>
      <c r="N3" s="90"/>
      <c r="O3" s="89"/>
      <c r="P3" s="89"/>
      <c r="Q3" s="89"/>
      <c r="R3" s="89"/>
      <c r="S3" s="89"/>
      <c r="T3" s="89"/>
      <c r="U3" s="89"/>
      <c r="V3" s="89"/>
      <c r="W3" s="89"/>
    </row>
    <row r="4">
      <c r="A4" s="77"/>
      <c r="B4" s="91"/>
      <c r="C4" s="92"/>
      <c r="D4" s="92"/>
      <c r="E4" s="92"/>
      <c r="F4" s="92"/>
      <c r="G4" s="92"/>
      <c r="H4" s="91" t="s">
        <v>126</v>
      </c>
      <c r="I4" s="92"/>
      <c r="J4" s="92"/>
      <c r="K4" s="92"/>
      <c r="L4" s="92"/>
      <c r="M4" s="92"/>
      <c r="N4" s="92"/>
      <c r="O4" s="92"/>
      <c r="P4" s="92"/>
      <c r="Q4" s="92"/>
      <c r="R4" s="92"/>
      <c r="S4" s="92"/>
      <c r="T4" s="92"/>
      <c r="U4" s="92"/>
      <c r="V4" s="92"/>
      <c r="W4" s="93"/>
    </row>
    <row r="5">
      <c r="A5" s="77"/>
      <c r="B5" s="94"/>
      <c r="C5" s="95"/>
      <c r="D5" s="95"/>
      <c r="E5" s="95"/>
      <c r="F5" s="95"/>
      <c r="G5" s="95"/>
      <c r="H5" s="94"/>
      <c r="I5" s="95"/>
      <c r="J5" s="95"/>
      <c r="K5" s="95"/>
      <c r="L5" s="95"/>
      <c r="M5" s="95"/>
      <c r="N5" s="95"/>
      <c r="O5" s="95"/>
      <c r="P5" s="95"/>
      <c r="Q5" s="95"/>
      <c r="R5" s="95"/>
      <c r="S5" s="95"/>
      <c r="T5" s="95"/>
      <c r="U5" s="95"/>
      <c r="V5" s="95"/>
      <c r="W5" s="96"/>
    </row>
    <row r="6">
      <c r="A6" s="97"/>
      <c r="B6" s="98" t="s">
        <v>1</v>
      </c>
      <c r="C6" s="99" t="s">
        <v>3</v>
      </c>
      <c r="D6" s="100" t="s">
        <v>127</v>
      </c>
      <c r="E6" s="101" t="s">
        <v>27</v>
      </c>
      <c r="F6" s="102" t="s">
        <v>4</v>
      </c>
      <c r="G6" s="98" t="s">
        <v>2</v>
      </c>
      <c r="H6" s="99" t="s">
        <v>128</v>
      </c>
      <c r="I6" s="98" t="s">
        <v>129</v>
      </c>
      <c r="J6" s="103" t="s">
        <v>130</v>
      </c>
      <c r="K6" s="99" t="s">
        <v>131</v>
      </c>
      <c r="L6" s="98" t="s">
        <v>129</v>
      </c>
      <c r="M6" s="98" t="s">
        <v>132</v>
      </c>
      <c r="N6" s="98" t="s">
        <v>129</v>
      </c>
      <c r="O6" s="98" t="s">
        <v>133</v>
      </c>
      <c r="P6" s="98" t="s">
        <v>129</v>
      </c>
      <c r="Q6" s="98" t="s">
        <v>134</v>
      </c>
      <c r="R6" s="98" t="s">
        <v>129</v>
      </c>
      <c r="S6" s="98" t="s">
        <v>135</v>
      </c>
      <c r="T6" s="104" t="s">
        <v>136</v>
      </c>
      <c r="U6" s="98" t="s">
        <v>129</v>
      </c>
      <c r="V6" s="105" t="s">
        <v>137</v>
      </c>
      <c r="W6" s="99" t="s">
        <v>138</v>
      </c>
      <c r="X6" s="106"/>
      <c r="Y6" s="106"/>
      <c r="Z6" s="106"/>
      <c r="AA6" s="106"/>
      <c r="AB6" s="106"/>
    </row>
    <row r="7">
      <c r="A7" s="77"/>
      <c r="B7" s="107">
        <v>1.0</v>
      </c>
      <c r="C7" s="108" t="s">
        <v>20</v>
      </c>
      <c r="D7" s="108" t="s">
        <v>139</v>
      </c>
      <c r="E7" s="108" t="b">
        <v>1</v>
      </c>
      <c r="F7" s="109" t="s">
        <v>140</v>
      </c>
      <c r="G7" s="108" t="s">
        <v>141</v>
      </c>
      <c r="H7" s="110" t="s">
        <v>142</v>
      </c>
      <c r="I7" s="108" t="s">
        <v>143</v>
      </c>
      <c r="J7" s="111"/>
      <c r="K7" s="110" t="s">
        <v>144</v>
      </c>
      <c r="L7" s="108" t="s">
        <v>145</v>
      </c>
      <c r="M7" s="110" t="s">
        <v>146</v>
      </c>
      <c r="N7" s="108" t="s">
        <v>143</v>
      </c>
      <c r="O7" s="112"/>
      <c r="P7" s="111"/>
      <c r="Q7" s="112"/>
      <c r="R7" s="111"/>
      <c r="S7" s="112"/>
      <c r="T7" s="108" t="s">
        <v>147</v>
      </c>
      <c r="U7" s="108" t="s">
        <v>143</v>
      </c>
      <c r="V7" s="113" t="s">
        <v>148</v>
      </c>
      <c r="W7" s="114">
        <v>46181.0</v>
      </c>
    </row>
    <row r="8" hidden="1">
      <c r="A8" s="77"/>
      <c r="B8" s="107">
        <v>2.0</v>
      </c>
      <c r="C8" s="108" t="s">
        <v>32</v>
      </c>
      <c r="D8" s="108" t="s">
        <v>139</v>
      </c>
      <c r="E8" s="115" t="s">
        <v>115</v>
      </c>
      <c r="F8" s="109" t="s">
        <v>149</v>
      </c>
      <c r="G8" s="108" t="s">
        <v>150</v>
      </c>
      <c r="H8" s="112"/>
      <c r="I8" s="111"/>
      <c r="J8" s="111"/>
      <c r="K8" s="112"/>
      <c r="L8" s="111"/>
      <c r="M8" s="111"/>
      <c r="N8" s="111"/>
      <c r="O8" s="111"/>
      <c r="P8" s="111"/>
      <c r="Q8" s="111"/>
      <c r="R8" s="111"/>
      <c r="S8" s="111"/>
      <c r="T8" s="111"/>
      <c r="U8" s="111"/>
      <c r="V8" s="112"/>
      <c r="W8" s="116"/>
    </row>
    <row r="9">
      <c r="A9" s="77"/>
      <c r="B9" s="115">
        <v>2.0</v>
      </c>
      <c r="C9" s="117" t="s">
        <v>62</v>
      </c>
      <c r="D9" s="108" t="s">
        <v>151</v>
      </c>
      <c r="E9" s="115" t="s">
        <v>115</v>
      </c>
      <c r="F9" s="109" t="s">
        <v>152</v>
      </c>
      <c r="G9" s="108" t="s">
        <v>153</v>
      </c>
      <c r="H9" s="110" t="s">
        <v>154</v>
      </c>
      <c r="I9" s="108" t="s">
        <v>155</v>
      </c>
      <c r="J9" s="111"/>
      <c r="K9" s="118" t="s">
        <v>156</v>
      </c>
      <c r="L9" s="111"/>
      <c r="M9" s="112"/>
      <c r="N9" s="111"/>
      <c r="O9" s="112"/>
      <c r="P9" s="111"/>
      <c r="Q9" s="112"/>
      <c r="R9" s="111"/>
      <c r="S9" s="112"/>
      <c r="T9" s="119" t="s">
        <v>157</v>
      </c>
      <c r="U9" s="111"/>
      <c r="V9" s="112"/>
      <c r="W9" s="116"/>
    </row>
    <row r="10">
      <c r="A10" s="77"/>
      <c r="B10" s="115">
        <v>3.0</v>
      </c>
      <c r="C10" s="120" t="s">
        <v>80</v>
      </c>
      <c r="D10" s="108" t="s">
        <v>151</v>
      </c>
      <c r="E10" s="115" t="s">
        <v>115</v>
      </c>
      <c r="F10" s="109" t="s">
        <v>158</v>
      </c>
      <c r="G10" s="108" t="s">
        <v>153</v>
      </c>
      <c r="H10" s="110" t="s">
        <v>159</v>
      </c>
      <c r="I10" s="108" t="s">
        <v>143</v>
      </c>
      <c r="J10" s="111"/>
      <c r="K10" s="110" t="s">
        <v>160</v>
      </c>
      <c r="L10" s="108" t="s">
        <v>143</v>
      </c>
      <c r="M10" s="111"/>
      <c r="N10" s="111"/>
      <c r="O10" s="111"/>
      <c r="P10" s="111"/>
      <c r="Q10" s="111"/>
      <c r="R10" s="111"/>
      <c r="S10" s="111"/>
      <c r="T10" s="119" t="s">
        <v>161</v>
      </c>
      <c r="U10" s="111"/>
      <c r="V10" s="112"/>
      <c r="W10" s="116"/>
    </row>
    <row r="11">
      <c r="A11" s="77"/>
      <c r="B11" s="115">
        <v>4.0</v>
      </c>
      <c r="C11" s="120" t="s">
        <v>91</v>
      </c>
      <c r="D11" s="108" t="s">
        <v>139</v>
      </c>
      <c r="E11" s="108" t="b">
        <v>1</v>
      </c>
      <c r="F11" s="109" t="s">
        <v>162</v>
      </c>
      <c r="G11" s="108" t="s">
        <v>141</v>
      </c>
      <c r="H11" s="110" t="s">
        <v>163</v>
      </c>
      <c r="I11" s="121" t="s">
        <v>164</v>
      </c>
      <c r="J11" s="122" t="s">
        <v>165</v>
      </c>
      <c r="K11" s="110" t="s">
        <v>166</v>
      </c>
      <c r="L11" s="108" t="s">
        <v>167</v>
      </c>
      <c r="M11" s="113" t="s">
        <v>168</v>
      </c>
      <c r="N11" s="108" t="s">
        <v>143</v>
      </c>
      <c r="O11" s="111"/>
      <c r="P11" s="111"/>
      <c r="Q11" s="111"/>
      <c r="R11" s="111"/>
      <c r="S11" s="111"/>
      <c r="T11" s="108" t="s">
        <v>169</v>
      </c>
      <c r="U11" s="108" t="s">
        <v>143</v>
      </c>
      <c r="V11" s="110" t="s">
        <v>170</v>
      </c>
      <c r="W11" s="114">
        <v>46181.0</v>
      </c>
    </row>
    <row r="12">
      <c r="A12" s="77"/>
      <c r="B12" s="115">
        <v>5.0</v>
      </c>
      <c r="C12" s="117" t="s">
        <v>35</v>
      </c>
      <c r="D12" s="108" t="s">
        <v>139</v>
      </c>
      <c r="E12" s="108" t="b">
        <v>1</v>
      </c>
      <c r="F12" s="109" t="s">
        <v>171</v>
      </c>
      <c r="G12" s="108" t="s">
        <v>141</v>
      </c>
      <c r="H12" s="113" t="s">
        <v>172</v>
      </c>
      <c r="I12" s="121" t="s">
        <v>173</v>
      </c>
      <c r="J12" s="122" t="s">
        <v>174</v>
      </c>
      <c r="K12" s="110" t="s">
        <v>175</v>
      </c>
      <c r="L12" s="108" t="s">
        <v>176</v>
      </c>
      <c r="M12" s="110" t="s">
        <v>177</v>
      </c>
      <c r="N12" s="108" t="s">
        <v>143</v>
      </c>
      <c r="O12" s="112"/>
      <c r="P12" s="111"/>
      <c r="Q12" s="112"/>
      <c r="R12" s="111"/>
      <c r="S12" s="112"/>
      <c r="T12" s="108" t="s">
        <v>178</v>
      </c>
      <c r="U12" s="108" t="s">
        <v>143</v>
      </c>
      <c r="V12" s="113" t="s">
        <v>179</v>
      </c>
      <c r="W12" s="114">
        <v>46181.0</v>
      </c>
    </row>
    <row r="13">
      <c r="A13" s="77"/>
      <c r="B13" s="115">
        <v>6.0</v>
      </c>
      <c r="C13" s="123" t="s">
        <v>52</v>
      </c>
      <c r="D13" s="108" t="s">
        <v>151</v>
      </c>
      <c r="E13" s="108" t="b">
        <v>1</v>
      </c>
      <c r="F13" s="109" t="s">
        <v>180</v>
      </c>
      <c r="G13" s="108" t="s">
        <v>141</v>
      </c>
      <c r="H13" s="110" t="s">
        <v>181</v>
      </c>
      <c r="I13" s="108" t="s">
        <v>143</v>
      </c>
      <c r="J13" s="111"/>
      <c r="K13" s="110" t="s">
        <v>182</v>
      </c>
      <c r="L13" s="108" t="s">
        <v>143</v>
      </c>
      <c r="M13" s="111"/>
      <c r="N13" s="111"/>
      <c r="O13" s="111"/>
      <c r="P13" s="111"/>
      <c r="Q13" s="111"/>
      <c r="R13" s="111"/>
      <c r="S13" s="111"/>
      <c r="T13" s="124" t="s">
        <v>183</v>
      </c>
      <c r="U13" s="108" t="s">
        <v>143</v>
      </c>
      <c r="V13" s="113" t="s">
        <v>184</v>
      </c>
      <c r="W13" s="114">
        <v>46181.0</v>
      </c>
    </row>
    <row r="14">
      <c r="A14" s="77"/>
      <c r="B14" s="115">
        <v>7.0</v>
      </c>
      <c r="C14" s="125" t="s">
        <v>59</v>
      </c>
      <c r="D14" s="126" t="s">
        <v>151</v>
      </c>
      <c r="E14" s="108" t="b">
        <v>1</v>
      </c>
      <c r="F14" s="109" t="s">
        <v>185</v>
      </c>
      <c r="G14" s="108" t="s">
        <v>141</v>
      </c>
      <c r="H14" s="110" t="s">
        <v>186</v>
      </c>
      <c r="I14" s="108" t="s">
        <v>143</v>
      </c>
      <c r="J14" s="111"/>
      <c r="K14" s="110" t="s">
        <v>187</v>
      </c>
      <c r="L14" s="108" t="s">
        <v>143</v>
      </c>
      <c r="M14" s="111"/>
      <c r="N14" s="111"/>
      <c r="O14" s="111"/>
      <c r="P14" s="111"/>
      <c r="Q14" s="111"/>
      <c r="R14" s="111"/>
      <c r="S14" s="111"/>
      <c r="T14" s="108" t="s">
        <v>188</v>
      </c>
      <c r="U14" s="108" t="s">
        <v>143</v>
      </c>
      <c r="V14" s="113" t="s">
        <v>189</v>
      </c>
      <c r="W14" s="114">
        <v>46181.0</v>
      </c>
    </row>
    <row r="15">
      <c r="C15" s="127"/>
    </row>
  </sheetData>
  <mergeCells count="8">
    <mergeCell ref="D1:G1"/>
    <mergeCell ref="L1:N1"/>
    <mergeCell ref="D2:G2"/>
    <mergeCell ref="L2:N2"/>
    <mergeCell ref="D3:G3"/>
    <mergeCell ref="L3:N3"/>
    <mergeCell ref="B4:G5"/>
    <mergeCell ref="H4:W5"/>
  </mergeCells>
  <dataValidations>
    <dataValidation type="list" allowBlank="1" showErrorMessage="1" sqref="G7:G14">
      <formula1>"Waiting Revisi Draft,Need Appproval Storyline,Waiting Revisi Storyline,Need Approval Draft Video,Waiting Revisi Caption,Need Approval Caption,Storyline Approved,Draft Approved,Video Approved,Caption Approved,Waiting KOL Posting,KOL Done Posting,KOL Cancel"&amp;",KOL Done Visit,Waiting Draft,Waiting Storyline,Waiting Caption,KOL Approved"</formula1>
    </dataValidation>
  </dataValidations>
  <hyperlinks>
    <hyperlink r:id="rId1" ref="F7"/>
    <hyperlink r:id="rId2" ref="H7"/>
    <hyperlink r:id="rId3" ref="K7"/>
    <hyperlink r:id="rId4" ref="M7"/>
    <hyperlink r:id="rId5" ref="V7"/>
    <hyperlink r:id="rId6" ref="F8"/>
    <hyperlink r:id="rId7" ref="F9"/>
    <hyperlink r:id="rId8" ref="H9"/>
    <hyperlink r:id="rId9" ref="K9"/>
    <hyperlink r:id="rId10" ref="F10"/>
    <hyperlink r:id="rId11" ref="H10"/>
    <hyperlink r:id="rId12" ref="K10"/>
    <hyperlink r:id="rId13" ref="F11"/>
    <hyperlink r:id="rId14" ref="H11"/>
    <hyperlink r:id="rId15" ref="I11"/>
    <hyperlink r:id="rId16" ref="J11"/>
    <hyperlink r:id="rId17" ref="K11"/>
    <hyperlink r:id="rId18" ref="M11"/>
    <hyperlink r:id="rId19" ref="V11"/>
    <hyperlink r:id="rId20" ref="F12"/>
    <hyperlink r:id="rId21" ref="H12"/>
    <hyperlink r:id="rId22" ref="I12"/>
    <hyperlink r:id="rId23" ref="J12"/>
    <hyperlink r:id="rId24" ref="K12"/>
    <hyperlink r:id="rId25" ref="M12"/>
    <hyperlink r:id="rId26" ref="V12"/>
    <hyperlink r:id="rId27" ref="F13"/>
    <hyperlink r:id="rId28" ref="H13"/>
    <hyperlink r:id="rId29" ref="K13"/>
    <hyperlink r:id="rId30" ref="V13"/>
    <hyperlink r:id="rId31" ref="F14"/>
    <hyperlink r:id="rId32" ref="H14"/>
    <hyperlink r:id="rId33" ref="K14"/>
    <hyperlink r:id="rId34" ref="V14"/>
  </hyperlinks>
  <drawing r:id="rId35"/>
</worksheet>
</file>