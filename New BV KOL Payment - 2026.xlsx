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AMPLATE" sheetId="1" r:id="rId5"/>
    <sheet state="visible" name="GoPay - Cinema Mini App" sheetId="2" r:id="rId6"/>
    <sheet state="visible" name="GoFood - Threads" sheetId="3" r:id="rId7"/>
    <sheet state="visible" name="Planet Ban (Talent Shoot Batch " sheetId="4" r:id="rId8"/>
    <sheet state="visible" name="Planet Ban (Pekanbaru)" sheetId="5" r:id="rId9"/>
    <sheet state="visible" name="Planet Ban (Banjarmasin)" sheetId="6" r:id="rId10"/>
    <sheet state="visible" name="MotU" sheetId="7" r:id="rId11"/>
    <sheet state="visible" name="Le Minerale" sheetId="8" r:id="rId12"/>
    <sheet state="visible" name="NYAMbuburit" sheetId="9" r:id="rId13"/>
    <sheet state="visible" name="BlueBand 5in1 Dracin - January" sheetId="10" r:id="rId14"/>
    <sheet state="visible" name="OFERO 5 LIT" sheetId="11" r:id="rId15"/>
    <sheet state="visible" name="OFERO 3 LIT 2025" sheetId="12" r:id="rId16"/>
    <sheet state="visible" name="CAPCUT END NEW YEAR 2025" sheetId="13" r:id="rId17"/>
    <sheet state="hidden" name="Mireya - TAP 2025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tc={2a98f05d-b701-49f4-b99e-39dcfed70540}</author>
  </authors>
  <commentList>
    <comment authorId="0" xr:uid="{2a98f05d-b701-49f4-b99e-39dcfed70540}" ref="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@finance@wearebeyondviral.com ternyata yg egi dan adudu jg yaaa, vendor vera nanti aja
Assigned to finance@wearebeyondviral.com
</t>
      </text>
    </comment>
  </commentList>
</comments>
</file>

<file path=xl/sharedStrings.xml><?xml version="1.0" encoding="utf-8"?>
<sst xmlns="http://schemas.openxmlformats.org/spreadsheetml/2006/main" count="1043" uniqueCount="289">
  <si>
    <t xml:space="preserve">   R E V E N U E S</t>
  </si>
  <si>
    <t>DATE / TERM</t>
  </si>
  <si>
    <t>CODE</t>
  </si>
  <si>
    <t>Name</t>
  </si>
  <si>
    <t>Qty</t>
  </si>
  <si>
    <t>SCOPE OF WORK</t>
  </si>
  <si>
    <t>AMOUNT</t>
  </si>
  <si>
    <t>1 Januari 2026</t>
  </si>
  <si>
    <t>KOL Service</t>
  </si>
  <si>
    <t>Bulked Rate</t>
  </si>
  <si>
    <t>xx</t>
  </si>
  <si>
    <t>Di isi Oleh AE</t>
  </si>
  <si>
    <t>INSERT HANDLE BAR</t>
  </si>
  <si>
    <t xml:space="preserve">   S U M</t>
  </si>
  <si>
    <t>D P P</t>
  </si>
  <si>
    <t>P P N  1 2%</t>
  </si>
  <si>
    <t>G R A N D  T O T A L</t>
  </si>
  <si>
    <t>Request PKS &amp; Payment</t>
  </si>
  <si>
    <t>Di isi oleh KOL Specialist</t>
  </si>
  <si>
    <t>Di isi oleh Admin Finance</t>
  </si>
  <si>
    <t>PIC</t>
  </si>
  <si>
    <t>KOL Name</t>
  </si>
  <si>
    <t xml:space="preserve">Platfrom </t>
  </si>
  <si>
    <t>Alamat</t>
  </si>
  <si>
    <t>KTP</t>
  </si>
  <si>
    <t>NPWP</t>
  </si>
  <si>
    <t>Nama Bank</t>
  </si>
  <si>
    <t>Nomor Rekening</t>
  </si>
  <si>
    <t>Nama Rekening</t>
  </si>
  <si>
    <t>Link SPK</t>
  </si>
  <si>
    <t>Link Invoice</t>
  </si>
  <si>
    <t>Detail SOW</t>
  </si>
  <si>
    <t>Est. Timeline</t>
  </si>
  <si>
    <t xml:space="preserve">Paying Agreement </t>
  </si>
  <si>
    <t>Real Cost</t>
  </si>
  <si>
    <t>Cost + Tax</t>
  </si>
  <si>
    <t>Payment Schedule</t>
  </si>
  <si>
    <t>Link  PKS (pdf)</t>
  </si>
  <si>
    <t>Payment Status</t>
  </si>
  <si>
    <t>Invoice Date Received</t>
  </si>
  <si>
    <t>Link Bukti Transfer</t>
  </si>
  <si>
    <t>Aliy</t>
  </si>
  <si>
    <t>Widya</t>
  </si>
  <si>
    <t>Invoice widya ktp.pdf</t>
  </si>
  <si>
    <t>Talent Service</t>
  </si>
  <si>
    <t>Gress</t>
  </si>
  <si>
    <t>Dimas Kurniawan &amp; Abel</t>
  </si>
  <si>
    <t>Talent</t>
  </si>
  <si>
    <t>Jl. Mawar, Kapuk Cengkareng, Jakarta Barat</t>
  </si>
  <si>
    <t>3173014106790015</t>
  </si>
  <si>
    <t>-</t>
  </si>
  <si>
    <t>BCA</t>
  </si>
  <si>
    <t>Tini Wulandari</t>
  </si>
  <si>
    <t>https://drive.google.com/file/d/1sL5N-clVWJIhK9MigLIoVRL4DU4YucNp/view?usp=sharing</t>
  </si>
  <si>
    <t>https://drive.google.com/file/d/1NC8nWGwYtyarJ0dH-LBcivxguOZ24w9q/view?usp=drive_link</t>
  </si>
  <si>
    <t>Syuting 15 konten 10.00-17.00 WIB</t>
  </si>
  <si>
    <t>23 Juni 2026</t>
  </si>
  <si>
    <t>H+2</t>
  </si>
  <si>
    <t>pipingoldfish</t>
  </si>
  <si>
    <t>2 termin</t>
  </si>
  <si>
    <t>banjarinfo</t>
  </si>
  <si>
    <t>Full Payment awal</t>
  </si>
  <si>
    <t>infobanjar</t>
  </si>
  <si>
    <t>Adifi</t>
  </si>
  <si>
    <t>TikTok</t>
  </si>
  <si>
    <t>INVOICE Film Masters Of Universe.pdf</t>
  </si>
  <si>
    <t>winnerizky</t>
  </si>
  <si>
    <t>lindafebrianaaa</t>
  </si>
  <si>
    <t>ramsest00</t>
  </si>
  <si>
    <t>marucatfamily</t>
  </si>
  <si>
    <t>Felix Sudjiman</t>
  </si>
  <si>
    <t>ombewokreviewer</t>
  </si>
  <si>
    <t>Vendor - Sister</t>
  </si>
  <si>
    <t>TikTok, IG</t>
  </si>
  <si>
    <t>Kp. Bulak, RT/RW 003/002, Kel. Pondok Kacang Timur, Kec. Pondok Aren, Kota Tangerang Selatan, Prov. Banten</t>
  </si>
  <si>
    <t>3674036712960009</t>
  </si>
  <si>
    <t>Seabank</t>
  </si>
  <si>
    <t>Christina Tiofani</t>
  </si>
  <si>
    <t>SPK Sister - Le Minerale.pdf</t>
  </si>
  <si>
    <t>Invoice - Sister</t>
  </si>
  <si>
    <t>133 KOC, 1x TikTok Video mirror IG Reels, 1x Visit</t>
  </si>
  <si>
    <t>2 Termin</t>
  </si>
  <si>
    <t>100 % (Lunas)</t>
  </si>
  <si>
    <t>DP udah, tinggal Pelunasan</t>
  </si>
  <si>
    <t>Aris</t>
  </si>
  <si>
    <t>Vera</t>
  </si>
  <si>
    <t>Siva</t>
  </si>
  <si>
    <t>pelunasan Sister</t>
  </si>
  <si>
    <t>Status</t>
  </si>
  <si>
    <t>naysillapmaheswari</t>
  </si>
  <si>
    <t>Cimekar, RT/RW 006/021, Desa Cimekar, Kec. Cileunyi, Kab. Bandung, Jawa Barat.</t>
  </si>
  <si>
    <t>3311126310980002</t>
  </si>
  <si>
    <t>Revita Oky Permata Putri</t>
  </si>
  <si>
    <t>Draft SPK - Naysilla (KOL NYAMbuburit).pdf</t>
  </si>
  <si>
    <t>Naysilla - Invoice Nyamnyam.pdf</t>
  </si>
  <si>
    <t>- 1x VT TikTok + Visit minimarket
- provide photo cover for repost
- open download &amp; paid partnership label</t>
  </si>
  <si>
    <t>Full Payment, H+7 After post</t>
  </si>
  <si>
    <t>Paid</t>
  </si>
  <si>
    <t>batviss_boy</t>
  </si>
  <si>
    <t>Saradan, RT/RW 007/003, Desa Saradan, Kec. Karangmalang, Kab. Sragen, Prov. Jawa Tengah</t>
  </si>
  <si>
    <t>3209021011960004</t>
  </si>
  <si>
    <t>BRI</t>
  </si>
  <si>
    <t>6890-01-044701-53-6</t>
  </si>
  <si>
    <t>Ade Hidayat</t>
  </si>
  <si>
    <t>SPK - batviss_boy (1).pdf</t>
  </si>
  <si>
    <t>Invoice - Batviss_Boy 2.pdf</t>
  </si>
  <si>
    <t xml:space="preserve">- TikTok Video Post
- Ad Boost
- Photo cover
- Download &amp; Paid Partnership labelin
- Add 3 talents 
- Visit store
- Owning content
</t>
  </si>
  <si>
    <t>Lilis</t>
  </si>
  <si>
    <t>TikTok/Vendor</t>
  </si>
  <si>
    <t>Jl. Pakis I Blok D No. 06, RT/RW 007/008, Kec. Lagadar, Kec. Margaasih, Kab. Bandung, Jawa Barat</t>
  </si>
  <si>
    <t>1202136004940002</t>
  </si>
  <si>
    <t>Lilis Tarihoran</t>
  </si>
  <si>
    <t>SPK - Lilis (Nyam Nyam)_signed.pdf</t>
  </si>
  <si>
    <t>Invoice - Lilis.jpeg</t>
  </si>
  <si>
    <t>Mencari dan menjalin hubungan dengan KOL terplilih, dan membantu proses untuk publikasi KOL</t>
  </si>
  <si>
    <t>Dina</t>
  </si>
  <si>
    <t>Bonita Mastiar Ambarita</t>
  </si>
  <si>
    <t>Tiktok</t>
  </si>
  <si>
    <t>BTN Gerbang Permata Blok A.19, Sukaharja</t>
  </si>
  <si>
    <t>6105016105950004</t>
  </si>
  <si>
    <t>8955275370</t>
  </si>
  <si>
    <t>SPK KOL BLUEBAND - Jesslynjoy  .pdf</t>
  </si>
  <si>
    <t>BABY JESS Invoice Blueband.pdf</t>
  </si>
  <si>
    <t>TT Video (Dracin konten 1-2 menit) + Tag Collab brand + Owning content + YC (Mama +
Icin) &amp; add masak</t>
  </si>
  <si>
    <t>17 Februari 2026</t>
  </si>
  <si>
    <t>Full Payment</t>
  </si>
  <si>
    <t>Editor - Hilman</t>
  </si>
  <si>
    <t>P P N  Final</t>
  </si>
  <si>
    <t>Raden Rauf</t>
  </si>
  <si>
    <t>Tiktok &amp; Instagram</t>
  </si>
  <si>
    <t>Raden Rauf - Ofero anyer</t>
  </si>
  <si>
    <t>dp 35jt Sisa 25jt</t>
  </si>
  <si>
    <t>Nabilla</t>
  </si>
  <si>
    <t>egieligius</t>
  </si>
  <si>
    <t>Jl Sambiroto 10 Blok F Nomor 10, Surabaya</t>
  </si>
  <si>
    <t>3578313009940003</t>
  </si>
  <si>
    <t>Eligius Adi Darma</t>
  </si>
  <si>
    <t>SPK OFERO 5 LIT - egieligius  (1).pdf</t>
  </si>
  <si>
    <t>Egieligius &amp; Ofero Stareer 5 Lit.pdf</t>
  </si>
  <si>
    <t>1x IG Reels mirroring Tiktok + Visit (codeboost)</t>
  </si>
  <si>
    <t>25 Februari 2026</t>
  </si>
  <si>
    <t>adudullz</t>
  </si>
  <si>
    <t>DSN VI SEI MENCIRIM</t>
  </si>
  <si>
    <t>ABDULLAH SUKRONI</t>
  </si>
  <si>
    <t>SPK OFERO 5 LIT - ADUDULLZ.pdf</t>
  </si>
  <si>
    <t>invoice adudullz.jpeg</t>
  </si>
  <si>
    <t>7 Maret 2026</t>
  </si>
  <si>
    <t>Nabilla/Aliy</t>
  </si>
  <si>
    <t>briannavito</t>
  </si>
  <si>
    <t>kintelan no 166 bendungan gajahmungkur kota semarang</t>
  </si>
  <si>
    <t>3374093003060001</t>
  </si>
  <si>
    <t>Realdo Zacky Brian Navito</t>
  </si>
  <si>
    <t>SPK OFERO 5 LIT - BRIANNAVITO 2.pdf</t>
  </si>
  <si>
    <t>invoice briannavito_.pdf</t>
  </si>
  <si>
    <t>26 Maret 2026</t>
  </si>
  <si>
    <t>Vendor Piya</t>
  </si>
  <si>
    <t xml:space="preserve">1x IG Reels mirroring Tiktok + Visit </t>
  </si>
  <si>
    <t>Vendor zie</t>
  </si>
  <si>
    <t>Jl. Badak GG Sidomuncul /9, RT/RW 008/000, Kel. Sidodadi, Kec. Kedaton, Kota Bandar Lampung, Prov. Lampung.</t>
  </si>
  <si>
    <t>Nyimas Permata Sari</t>
  </si>
  <si>
    <t>Nyimas  Zie (Vendor) - SPK Ofero KOL Visit Stareer 5 Lit_SIGN.pdf</t>
  </si>
  <si>
    <t>Zie - Invoice Ofero Stareer 5 Lit 2026.pdf</t>
  </si>
  <si>
    <t>Vendor didi</t>
  </si>
  <si>
    <t xml:space="preserve">1x IG Reels mirroring Tiktok </t>
  </si>
  <si>
    <t xml:space="preserve">Waiting payment </t>
  </si>
  <si>
    <t>Vendor Vera (1)</t>
  </si>
  <si>
    <t>Jl. Sawah Karang No. 92, RT/RW 004/023, Kel. Jebres, Kec. Jebres, Kota Surakarta, Kota Surakarta, Prov. Jawa Tengah</t>
  </si>
  <si>
    <t>3205116301930004</t>
  </si>
  <si>
    <t>Vera Nursyarah</t>
  </si>
  <si>
    <t>Draft SPK Vera - KOL Ofero (1).pdf</t>
  </si>
  <si>
    <t>Vendor Vera - Invoice Ofero (1).pdf</t>
  </si>
  <si>
    <t>19 Februari 2026</t>
  </si>
  <si>
    <t>Vendor Vera (2)</t>
  </si>
  <si>
    <t>Vendor MOD Management</t>
  </si>
  <si>
    <t>Perum Bogor Asri Blok P2 No. 5, RT/RW 010/011, Kel. Nanggewer, Kec. Cibinong, Kab. Bogor, Jawa Barat.</t>
  </si>
  <si>
    <t>3715046104990003</t>
  </si>
  <si>
    <t>Nindya Putri</t>
  </si>
  <si>
    <t>Draft SPK - Nindya (MOD Management) (1).pdf</t>
  </si>
  <si>
    <t>Invoice MOD 624 - Campaign Ofero strareer 5 lit_20260409_094439_0000.pdf</t>
  </si>
  <si>
    <t xml:space="preserve">1x IG Reels mirroring TikTok + Visit </t>
  </si>
  <si>
    <t>20 Februari 2026</t>
  </si>
  <si>
    <t>Badia</t>
  </si>
  <si>
    <t>Invoice Holy Vision_20260507_054706_0000.pdf</t>
  </si>
  <si>
    <t>Alih</t>
  </si>
  <si>
    <t>NOE</t>
  </si>
  <si>
    <t>WhatsApp Image 2026-04-30 at 18.27.55.jpeg</t>
  </si>
  <si>
    <t>Vendor - Kahfi</t>
  </si>
  <si>
    <t>INV 110 - PT Bisa Viral Butuh Usaha - Campaign Ofero Visit.pdf</t>
  </si>
  <si>
    <t>Piya</t>
  </si>
  <si>
    <t>have not paid</t>
  </si>
  <si>
    <t xml:space="preserve">Eyelectric </t>
  </si>
  <si>
    <t>TikTok &amp; Instagram</t>
  </si>
  <si>
    <t>Kompleks Bandung city view 2 kav B5 pasir impun Bandung</t>
  </si>
  <si>
    <t>3273241208910001</t>
  </si>
  <si>
    <t>Giar Givandra</t>
  </si>
  <si>
    <t>OFERO</t>
  </si>
  <si>
    <t>INVOICE CAMPAIGN OFERO EYELECTRIC DESEMBER 2025 .pdf</t>
  </si>
  <si>
    <t>1x Visit &amp;  1x IG Reels Mirroring Tiktok</t>
  </si>
  <si>
    <t>7 Januari 2026</t>
  </si>
  <si>
    <t>Vendor Desi</t>
  </si>
  <si>
    <t xml:space="preserve">Grand Pakis Residence 3 Blok D4/2 RT/RW. 001/005, Rawakalong - Gunung Sindur, Bogor 16340 </t>
  </si>
  <si>
    <t>3674065812900009</t>
  </si>
  <si>
    <t xml:space="preserve">Desi Novita </t>
  </si>
  <si>
    <t>SPK - Vendor Desi_251203_102315.pdf</t>
  </si>
  <si>
    <t>Invoice-INV-Vendor Desi.pdf</t>
  </si>
  <si>
    <t>Jalan Raya Pabuaran, Blok Gg. Ridho No.34, RT.005/RW.001, Jatiranggon, Kec. Jatisampurna, Kota Bks, Jawa Barat 17432</t>
  </si>
  <si>
    <t>3328014112970003</t>
  </si>
  <si>
    <t>Siti alpiyah</t>
  </si>
  <si>
    <t>SPK OFERO - Vendor Piya (1).pdf</t>
  </si>
  <si>
    <t>INVOICE OFFERO - Vendor Piya.pdf</t>
  </si>
  <si>
    <t>Vendor Laili</t>
  </si>
  <si>
    <t>Jl Raya Kendung 6/3 No73 Surabaya</t>
  </si>
  <si>
    <t>3578196904000001</t>
  </si>
  <si>
    <t>Non Npwp</t>
  </si>
  <si>
    <t>Laili Choirul Ummah</t>
  </si>
  <si>
    <t>SPK Vendor Laili - Ofero.pdf</t>
  </si>
  <si>
    <t>Invoice kerjasama.docx</t>
  </si>
  <si>
    <t>Vendor Uli</t>
  </si>
  <si>
    <t> jl. Jelambar barat II-B no 14</t>
  </si>
  <si>
    <t>3173022911840003</t>
  </si>
  <si>
    <t>59.469.036.4-036.000</t>
  </si>
  <si>
    <t>Tjoea Telly Chandra</t>
  </si>
  <si>
    <t>SPK OFERO - Vendor Uli.pdf</t>
  </si>
  <si>
    <t>INVOICE BV X OFERO - Vendor Uli.pdf</t>
  </si>
  <si>
    <t>Vendor Nindy</t>
  </si>
  <si>
    <t>Perum. Bogor Asri Blok P2 no. 5 RT. 10 Rw. 11</t>
  </si>
  <si>
    <t>3175046104990003</t>
  </si>
  <si>
    <t>Nindya Putri Aprilia</t>
  </si>
  <si>
    <t>SPK OFERO - VENDOR NINDY (1).pdf</t>
  </si>
  <si>
    <t>Invoice MOD 604 - Campaign Ofero _20260109_152647_0000.pdf</t>
  </si>
  <si>
    <t>8 Januari 2026</t>
  </si>
  <si>
    <t>JL CIMANDIRI 6 NO 174 RT 05 RW 03 KEL BAKTIJAYA KEC SUKMAJAYA DEPOK TIMUR 16418</t>
  </si>
  <si>
    <t>3276052007030008</t>
  </si>
  <si>
    <t>Non NPWP</t>
  </si>
  <si>
    <t>Muhidin Al Fakhril</t>
  </si>
  <si>
    <t>SPK OFERO - VENDOR DIDI (1).pdf</t>
  </si>
  <si>
    <t>INVOICE OFERO VENDOR DIDI.pdf</t>
  </si>
  <si>
    <t>28 Januari 2026</t>
  </si>
  <si>
    <t>Vendor Mawar</t>
  </si>
  <si>
    <t>JL. KAPUK KAMAL</t>
  </si>
  <si>
    <t>Mandiri</t>
  </si>
  <si>
    <t>Mawar</t>
  </si>
  <si>
    <t>SPK OFERO - VENDOR MAWAR.pdf</t>
  </si>
  <si>
    <t>INVOICE OFERO PROYEK BEYOND - VENDOR MAWAR.pdf</t>
  </si>
  <si>
    <t>SPK OFERO - VENDOR PIYA KE 2 (1KOL).pdf</t>
  </si>
  <si>
    <t>INVOICE OFFERO DESEMBER 2025 - vendor piya 1 KOL - Piya.pdf</t>
  </si>
  <si>
    <t>Vendor Vera</t>
  </si>
  <si>
    <t>Solo</t>
  </si>
  <si>
    <t>SPK OFERO - VENDOR VERA (1).pdf</t>
  </si>
  <si>
    <t>Invoice_  Vendor Vera.pdf</t>
  </si>
  <si>
    <t>4 Februari 2026</t>
  </si>
  <si>
    <t xml:space="preserve">Final Cost </t>
  </si>
  <si>
    <t>Pieterg_</t>
  </si>
  <si>
    <t>Serpong Mtown Signature Apartment (tower herald unit MH 3310) Jl. Gading Serpong Boulevard No.01, Pakulonan Bar., Kec. Klp. Dua, Kabupaten Tangerang, Banten 1581</t>
  </si>
  <si>
    <t>3603280608020003</t>
  </si>
  <si>
    <t>03.945.188.5-451.000</t>
  </si>
  <si>
    <t>gideon pieter filemon samuel</t>
  </si>
  <si>
    <t>SPK Capcut - KOL  Pieterg_ (2) (1).pdf</t>
  </si>
  <si>
    <t>capcut inv pieterg_.pdf</t>
  </si>
  <si>
    <t>1x Video Tiktok</t>
  </si>
  <si>
    <t>Fikryrai</t>
  </si>
  <si>
    <t>Pondok cabe ilir, pamulang, tangerang selatan</t>
  </si>
  <si>
    <t>3674062210980006</t>
  </si>
  <si>
    <t>83.764.282.6-453.000</t>
  </si>
  <si>
    <t>Fikry Raihan</t>
  </si>
  <si>
    <t>SPK Capcut - KOL Fikryrai.pdf</t>
  </si>
  <si>
    <t>invoice fiky iky.jpeg</t>
  </si>
  <si>
    <t>Rafiarliansyahh</t>
  </si>
  <si>
    <t>Jl. Laut Maluku 1 No. 63 Rt.01/19 Kel. Abadijaya Kec. Sukmajaya, Kota Depok</t>
  </si>
  <si>
    <t>3175042702000004</t>
  </si>
  <si>
    <t>M Rafi Arliansyah</t>
  </si>
  <si>
    <t>SPK Capcut - KOL rafiarliansyahh .pdf</t>
  </si>
  <si>
    <t>INVOICE #014-Rafi Arliansyah.pdf</t>
  </si>
  <si>
    <t>Raisyanhrv</t>
  </si>
  <si>
    <t>Jl rawa belong 5B no 32 Rt.3 Rw.13 Jakarta Barat 11480</t>
  </si>
  <si>
    <t>1306075112070001</t>
  </si>
  <si>
    <t xml:space="preserve">Raisya Nur Hidayah </t>
  </si>
  <si>
    <t>SPK Capcut - KOL Raisyanhrv (1).pdf</t>
  </si>
  <si>
    <t>INVOICE CAPCUT - Raisya.pdf</t>
  </si>
  <si>
    <t>Lethonganget</t>
  </si>
  <si>
    <t>SYELIND</t>
  </si>
  <si>
    <t>hi.kyaza</t>
  </si>
  <si>
    <t xml:space="preserve">TIKTOK </t>
  </si>
  <si>
    <t>INVOICE</t>
  </si>
  <si>
    <t>fxirytale</t>
  </si>
  <si>
    <t>marettapendani</t>
  </si>
  <si>
    <t>elvitahara</t>
  </si>
  <si>
    <t xml:space="preserve">3 KOL by Vendor Xgy MG </t>
  </si>
  <si>
    <t xml:space="preserve">18 KOL by Vendor FLO MG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</si>
</sst>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Rp #,##0_);[Red](Rp #,##0)"/>
    <numFmt numFmtId="165" formatCode="yyyy&quot;-&quot;mm&quot;-&quot;dd"/>
    <numFmt numFmtId="166" formatCode="[$Rp]#,##0"/>
    <numFmt numFmtId="167" formatCode="d mmmm yyyy"/>
    <numFmt numFmtId="168" formatCode="d mmm yyyy"/>
    <numFmt numFmtId="169" formatCode="dd/mm/yyyy"/>
  </numFmts>
  <fonts count="24">
    <font>
      <sz val="10.0"/>
      <color rgb="FF000000"/>
      <name val="Arial"/>
      <scheme val="minor"/>
    </font>
    <font>
      <b/>
      <color rgb="FFFFFFFF"/>
      <name val="Proxima Nova"/>
    </font>
    <font/>
    <font>
      <color theme="1"/>
      <name val="Arial"/>
    </font>
    <font>
      <color rgb="FF696969"/>
      <name val="Proxima Nova"/>
    </font>
    <font>
      <color theme="1"/>
      <name val="Proxima Nova"/>
    </font>
    <font>
      <color rgb="FF434343"/>
      <name val="Arial"/>
      <scheme val="minor"/>
    </font>
    <font>
      <color theme="1"/>
      <name val="Arial"/>
      <scheme val="minor"/>
    </font>
    <font>
      <b/>
      <i/>
      <color rgb="FFFFFFFF"/>
      <name val="Proxima Nova"/>
    </font>
    <font>
      <b/>
      <color theme="1"/>
      <name val="Proxima Nova"/>
    </font>
    <font>
      <u/>
      <color theme="1"/>
      <name val="Arial"/>
    </font>
    <font>
      <u/>
      <color rgb="FF0000FF"/>
      <name val="Arial"/>
    </font>
    <font>
      <color rgb="FF000000"/>
      <name val="Times"/>
    </font>
    <font>
      <b/>
      <color rgb="FFCCFF00"/>
      <name val="Proxima Nova"/>
    </font>
    <font>
      <u/>
      <color theme="1"/>
      <name val="Arial"/>
    </font>
    <font>
      <u/>
      <color theme="1"/>
      <name val="Arial"/>
    </font>
    <font>
      <b/>
      <color theme="1"/>
      <name val="Arial"/>
    </font>
    <font>
      <color rgb="FFCCFF00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theme="1"/>
      <name val="'UICTFontTextStyleBody'"/>
    </font>
    <font>
      <u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8E7CC3"/>
        <bgColor rgb="FF8E7CC3"/>
      </patternFill>
    </fill>
    <fill>
      <patternFill patternType="solid">
        <fgColor rgb="FF741B47"/>
        <bgColor rgb="FF741B47"/>
      </patternFill>
    </fill>
    <fill>
      <patternFill patternType="solid">
        <fgColor rgb="FF692258"/>
        <bgColor rgb="FF692258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3" numFmtId="0" xfId="0" applyBorder="1" applyFont="1"/>
    <xf borderId="4" fillId="3" fontId="4" numFmtId="0" xfId="0" applyAlignment="1" applyBorder="1" applyFill="1" applyFont="1">
      <alignment horizontal="center"/>
    </xf>
    <xf borderId="4" fillId="3" fontId="4" numFmtId="37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 readingOrder="0"/>
    </xf>
    <xf borderId="4" fillId="0" fontId="3" numFmtId="37" xfId="0" applyBorder="1" applyFont="1" applyNumberFormat="1"/>
    <xf borderId="4" fillId="4" fontId="5" numFmtId="3" xfId="0" applyAlignment="1" applyBorder="1" applyFill="1" applyFont="1" applyNumberFormat="1">
      <alignment horizontal="center"/>
    </xf>
    <xf borderId="4" fillId="4" fontId="5" numFmtId="3" xfId="0" applyAlignment="1" applyBorder="1" applyFont="1" applyNumberFormat="1">
      <alignment shrinkToFit="0" wrapText="1"/>
    </xf>
    <xf borderId="4" fillId="0" fontId="5" numFmtId="164" xfId="0" applyAlignment="1" applyBorder="1" applyFont="1" applyNumberFormat="1">
      <alignment horizontal="right"/>
    </xf>
    <xf borderId="0" fillId="2" fontId="6" numFmtId="0" xfId="0" applyFont="1"/>
    <xf borderId="0" fillId="0" fontId="7" numFmtId="0" xfId="0" applyAlignment="1" applyFont="1">
      <alignment readingOrder="0"/>
    </xf>
    <xf borderId="4" fillId="3" fontId="3" numFmtId="165" xfId="0" applyBorder="1" applyFont="1" applyNumberFormat="1"/>
    <xf borderId="4" fillId="4" fontId="3" numFmtId="3" xfId="0" applyBorder="1" applyFont="1" applyNumberFormat="1"/>
    <xf borderId="4" fillId="0" fontId="3" numFmtId="164" xfId="0" applyBorder="1" applyFont="1" applyNumberFormat="1"/>
    <xf borderId="1" fillId="5" fontId="1" numFmtId="0" xfId="0" applyAlignment="1" applyBorder="1" applyFill="1" applyFont="1">
      <alignment horizontal="center"/>
    </xf>
    <xf borderId="3" fillId="0" fontId="2" numFmtId="0" xfId="0" applyBorder="1" applyFont="1"/>
    <xf borderId="1" fillId="2" fontId="1" numFmtId="0" xfId="0" applyAlignment="1" applyBorder="1" applyFont="1">
      <alignment horizontal="right"/>
    </xf>
    <xf borderId="4" fillId="2" fontId="8" numFmtId="164" xfId="0" applyAlignment="1" applyBorder="1" applyFont="1" applyNumberFormat="1">
      <alignment horizontal="right"/>
    </xf>
    <xf borderId="0" fillId="0" fontId="9" numFmtId="0" xfId="0" applyFont="1"/>
    <xf borderId="0" fillId="0" fontId="3" numFmtId="0" xfId="0" applyFont="1"/>
    <xf borderId="0" fillId="0" fontId="3" numFmtId="49" xfId="0" applyFont="1" applyNumberFormat="1"/>
    <xf borderId="0" fillId="0" fontId="3" numFmtId="3" xfId="0" applyFont="1" applyNumberFormat="1"/>
    <xf borderId="0" fillId="4" fontId="3" numFmtId="0" xfId="0" applyFont="1"/>
    <xf borderId="5" fillId="6" fontId="3" numFmtId="0" xfId="0" applyBorder="1" applyFill="1" applyFont="1"/>
    <xf borderId="0" fillId="0" fontId="5" numFmtId="0" xfId="0" applyFont="1"/>
    <xf borderId="5" fillId="7" fontId="3" numFmtId="0" xfId="0" applyBorder="1" applyFill="1" applyFont="1"/>
    <xf borderId="6" fillId="0" fontId="3" numFmtId="0" xfId="0" applyBorder="1" applyFont="1"/>
    <xf borderId="6" fillId="0" fontId="3" numFmtId="49" xfId="0" applyBorder="1" applyFont="1" applyNumberFormat="1"/>
    <xf borderId="6" fillId="0" fontId="3" numFmtId="3" xfId="0" applyBorder="1" applyFont="1" applyNumberFormat="1"/>
    <xf borderId="7" fillId="6" fontId="1" numFmtId="0" xfId="0" applyAlignment="1" applyBorder="1" applyFont="1">
      <alignment horizontal="center"/>
    </xf>
    <xf borderId="7" fillId="6" fontId="1" numFmtId="0" xfId="0" applyAlignment="1" applyBorder="1" applyFont="1">
      <alignment horizontal="center" readingOrder="0" shrinkToFit="0" wrapText="1"/>
    </xf>
    <xf borderId="7" fillId="6" fontId="1" numFmtId="49" xfId="0" applyAlignment="1" applyBorder="1" applyFont="1" applyNumberFormat="1">
      <alignment horizontal="center"/>
    </xf>
    <xf borderId="7" fillId="6" fontId="1" numFmtId="0" xfId="0" applyAlignment="1" applyBorder="1" applyFont="1">
      <alignment horizontal="center" shrinkToFit="0" wrapText="1"/>
    </xf>
    <xf borderId="7" fillId="7" fontId="1" numFmtId="3" xfId="0" applyAlignment="1" applyBorder="1" applyFont="1" applyNumberFormat="1">
      <alignment horizontal="center"/>
    </xf>
    <xf borderId="7" fillId="7" fontId="1" numFmtId="0" xfId="0" applyAlignment="1" applyBorder="1" applyFont="1">
      <alignment horizontal="center" shrinkToFit="0" wrapText="1"/>
    </xf>
    <xf borderId="7" fillId="7" fontId="1" numFmtId="0" xfId="0" applyAlignment="1" applyBorder="1" applyFont="1">
      <alignment horizontal="center"/>
    </xf>
    <xf borderId="0" fillId="8" fontId="1" numFmtId="0" xfId="0" applyAlignment="1" applyFill="1" applyFont="1">
      <alignment horizontal="center"/>
    </xf>
    <xf borderId="8" fillId="0" fontId="2" numFmtId="0" xfId="0" applyBorder="1" applyFont="1"/>
    <xf borderId="9" fillId="0" fontId="3" numFmtId="37" xfId="0" applyBorder="1" applyFont="1" applyNumberFormat="1"/>
    <xf borderId="9" fillId="0" fontId="3" numFmtId="0" xfId="0" applyBorder="1" applyFont="1"/>
    <xf borderId="9" fillId="0" fontId="3" numFmtId="0" xfId="0" applyBorder="1" applyFont="1"/>
    <xf borderId="9" fillId="0" fontId="3" numFmtId="165" xfId="0" applyBorder="1" applyFont="1" applyNumberFormat="1"/>
    <xf borderId="9" fillId="0" fontId="3" numFmtId="37" xfId="0" applyAlignment="1" applyBorder="1" applyFont="1" applyNumberFormat="1">
      <alignment readingOrder="0"/>
    </xf>
    <xf borderId="9" fillId="0" fontId="10" numFmtId="37" xfId="0" applyAlignment="1" applyBorder="1" applyFont="1" applyNumberFormat="1">
      <alignment readingOrder="0"/>
    </xf>
    <xf borderId="0" fillId="0" fontId="7" numFmtId="0" xfId="0" applyAlignment="1" applyFont="1">
      <alignment shrinkToFit="0" wrapText="1"/>
    </xf>
    <xf borderId="4" fillId="3" fontId="4" numFmtId="37" xfId="0" applyAlignment="1" applyBorder="1" applyFont="1" applyNumberFormat="1">
      <alignment horizontal="center" shrinkToFit="0" wrapText="1"/>
    </xf>
    <xf borderId="4" fillId="0" fontId="3" numFmtId="37" xfId="0" applyAlignment="1" applyBorder="1" applyFont="1" applyNumberFormat="1">
      <alignment shrinkToFit="0" wrapText="1"/>
    </xf>
    <xf borderId="4" fillId="4" fontId="5" numFmtId="3" xfId="0" applyAlignment="1" applyBorder="1" applyFont="1" applyNumberFormat="1">
      <alignment horizontal="center" readingOrder="0"/>
    </xf>
    <xf borderId="4" fillId="0" fontId="5" numFmtId="164" xfId="0" applyAlignment="1" applyBorder="1" applyFont="1" applyNumberFormat="1">
      <alignment horizontal="righ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7" fillId="6" fontId="1" numFmtId="49" xfId="0" applyAlignment="1" applyBorder="1" applyFont="1" applyNumberFormat="1">
      <alignment horizontal="center" shrinkToFit="0" wrapText="1"/>
    </xf>
    <xf borderId="7" fillId="7" fontId="1" numFmtId="3" xfId="0" applyAlignment="1" applyBorder="1" applyFont="1" applyNumberFormat="1">
      <alignment horizontal="center" shrinkToFit="0" wrapText="1"/>
    </xf>
    <xf borderId="0" fillId="8" fontId="1" numFmtId="0" xfId="0" applyAlignment="1" applyFont="1">
      <alignment horizontal="center" shrinkToFit="0" wrapText="1"/>
    </xf>
    <xf borderId="9" fillId="0" fontId="3" numFmtId="37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11" numFmtId="37" xfId="0" applyAlignment="1" applyBorder="1" applyFont="1" applyNumberFormat="1">
      <alignment readingOrder="0" shrinkToFit="0" wrapText="1"/>
    </xf>
    <xf borderId="9" fillId="0" fontId="3" numFmtId="37" xfId="0" applyAlignment="1" applyBorder="1" applyFont="1" applyNumberFormat="1">
      <alignment shrinkToFit="0" wrapText="1"/>
    </xf>
    <xf borderId="9" fillId="0" fontId="3" numFmtId="0" xfId="0" applyAlignment="1" applyBorder="1" applyFont="1">
      <alignment shrinkToFit="0" wrapText="1"/>
    </xf>
    <xf borderId="0" fillId="0" fontId="7" numFmtId="166" xfId="0" applyFont="1" applyNumberFormat="1"/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2" numFmtId="37" xfId="0" applyAlignment="1" applyFont="1" applyNumberFormat="1">
      <alignment readingOrder="0"/>
    </xf>
    <xf borderId="9" fillId="0" fontId="3" numFmtId="0" xfId="0" applyAlignment="1" applyBorder="1" applyFont="1">
      <alignment readingOrder="0"/>
    </xf>
    <xf borderId="9" fillId="0" fontId="3" numFmtId="167" xfId="0" applyAlignment="1" applyBorder="1" applyFont="1" applyNumberFormat="1">
      <alignment readingOrder="0"/>
    </xf>
    <xf borderId="9" fillId="0" fontId="3" numFmtId="166" xfId="0" applyAlignment="1" applyBorder="1" applyFont="1" applyNumberFormat="1">
      <alignment readingOrder="0"/>
    </xf>
    <xf borderId="10" fillId="9" fontId="13" numFmtId="49" xfId="0" applyAlignment="1" applyBorder="1" applyFill="1" applyFont="1" applyNumberFormat="1">
      <alignment horizontal="center" readingOrder="0" vertical="center"/>
    </xf>
    <xf borderId="11" fillId="0" fontId="2" numFmtId="0" xfId="0" applyBorder="1" applyFont="1"/>
    <xf borderId="9" fillId="0" fontId="3" numFmtId="37" xfId="0" applyAlignment="1" applyBorder="1" applyFont="1" applyNumberFormat="1">
      <alignment vertical="center"/>
    </xf>
    <xf borderId="9" fillId="0" fontId="3" numFmtId="37" xfId="0" applyAlignment="1" applyBorder="1" applyFont="1" applyNumberFormat="1">
      <alignment shrinkToFit="0" vertical="center" wrapText="1"/>
    </xf>
    <xf borderId="9" fillId="0" fontId="3" numFmtId="0" xfId="0" applyAlignment="1" applyBorder="1" applyFont="1">
      <alignment horizontal="right" vertical="center"/>
    </xf>
    <xf borderId="9" fillId="0" fontId="14" numFmtId="37" xfId="0" applyAlignment="1" applyBorder="1" applyFont="1" applyNumberFormat="1">
      <alignment vertical="center"/>
    </xf>
    <xf borderId="9" fillId="0" fontId="3" numFmtId="168" xfId="0" applyAlignment="1" applyBorder="1" applyFont="1" applyNumberFormat="1">
      <alignment horizontal="right" vertical="center"/>
    </xf>
    <xf borderId="9" fillId="10" fontId="3" numFmtId="37" xfId="0" applyAlignment="1" applyBorder="1" applyFill="1" applyFont="1" applyNumberFormat="1">
      <alignment horizontal="right" vertical="center"/>
    </xf>
    <xf borderId="12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9" fillId="0" fontId="3" numFmtId="37" xfId="0" applyAlignment="1" applyBorder="1" applyFont="1" applyNumberFormat="1">
      <alignment readingOrder="0" vertical="center"/>
    </xf>
    <xf borderId="9" fillId="0" fontId="3" numFmtId="0" xfId="0" applyAlignment="1" applyBorder="1" applyFont="1">
      <alignment readingOrder="0" vertical="center"/>
    </xf>
    <xf borderId="9" fillId="0" fontId="15" numFmtId="37" xfId="0" applyAlignment="1" applyBorder="1" applyFont="1" applyNumberFormat="1">
      <alignment readingOrder="0" vertical="center"/>
    </xf>
    <xf borderId="9" fillId="0" fontId="3" numFmtId="168" xfId="0" applyAlignment="1" applyBorder="1" applyFont="1" applyNumberFormat="1">
      <alignment readingOrder="0" vertical="center"/>
    </xf>
    <xf borderId="9" fillId="10" fontId="16" numFmtId="37" xfId="0" applyAlignment="1" applyBorder="1" applyFont="1" applyNumberFormat="1">
      <alignment readingOrder="0" vertical="center"/>
    </xf>
    <xf borderId="9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9" fillId="0" fontId="16" numFmtId="37" xfId="0" applyAlignment="1" applyBorder="1" applyFont="1" applyNumberFormat="1">
      <alignment readingOrder="0"/>
    </xf>
    <xf quotePrefix="1" borderId="9" fillId="0" fontId="16" numFmtId="0" xfId="0" applyAlignment="1" applyBorder="1" applyFont="1">
      <alignment readingOrder="0"/>
    </xf>
    <xf borderId="0" fillId="0" fontId="7" numFmtId="37" xfId="0" applyFont="1" applyNumberFormat="1"/>
    <xf borderId="4" fillId="3" fontId="5" numFmtId="167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right" readingOrder="0"/>
    </xf>
    <xf borderId="7" fillId="6" fontId="1" numFmtId="0" xfId="0" applyAlignment="1" applyBorder="1" applyFont="1">
      <alignment horizontal="center" readingOrder="0"/>
    </xf>
    <xf borderId="9" fillId="0" fontId="3" numFmtId="37" xfId="0" applyAlignment="1" applyBorder="1" applyFont="1" applyNumberFormat="1">
      <alignment readingOrder="0" vertical="bottom"/>
    </xf>
    <xf borderId="9" fillId="11" fontId="3" numFmtId="37" xfId="0" applyAlignment="1" applyBorder="1" applyFill="1" applyFont="1" applyNumberFormat="1">
      <alignment readingOrder="0"/>
    </xf>
    <xf borderId="9" fillId="0" fontId="3" numFmtId="37" xfId="0" applyAlignment="1" applyBorder="1" applyFont="1" applyNumberFormat="1">
      <alignment vertical="bottom"/>
    </xf>
    <xf borderId="9" fillId="10" fontId="3" numFmtId="37" xfId="0" applyAlignment="1" applyBorder="1" applyFont="1" applyNumberFormat="1">
      <alignment readingOrder="0"/>
    </xf>
    <xf borderId="9" fillId="10" fontId="16" numFmtId="37" xfId="0" applyAlignment="1" applyBorder="1" applyFont="1" applyNumberFormat="1">
      <alignment readingOrder="0"/>
    </xf>
    <xf borderId="9" fillId="0" fontId="16" numFmtId="37" xfId="0" applyBorder="1" applyFont="1" applyNumberFormat="1"/>
    <xf borderId="9" fillId="0" fontId="3" numFmtId="168" xfId="0" applyAlignment="1" applyBorder="1" applyFont="1" applyNumberFormat="1">
      <alignment readingOrder="0"/>
    </xf>
    <xf borderId="9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7" numFmtId="3" xfId="0" applyAlignment="1" applyFont="1" applyNumberFormat="1">
      <alignment readingOrder="0"/>
    </xf>
    <xf borderId="0" fillId="0" fontId="7" numFmtId="3" xfId="0" applyFont="1" applyNumberFormat="1"/>
    <xf borderId="10" fillId="9" fontId="13" numFmtId="0" xfId="0" applyAlignment="1" applyBorder="1" applyFont="1">
      <alignment horizontal="center" vertical="center"/>
    </xf>
    <xf borderId="10" fillId="9" fontId="13" numFmtId="0" xfId="0" applyAlignment="1" applyBorder="1" applyFont="1">
      <alignment horizontal="center" readingOrder="0" shrinkToFit="0" vertical="center" wrapText="1"/>
    </xf>
    <xf borderId="10" fillId="9" fontId="13" numFmtId="49" xfId="0" applyAlignment="1" applyBorder="1" applyFont="1" applyNumberFormat="1">
      <alignment horizontal="center" vertical="center"/>
    </xf>
    <xf borderId="10" fillId="9" fontId="13" numFmtId="0" xfId="0" applyAlignment="1" applyBorder="1" applyFont="1">
      <alignment horizontal="center" shrinkToFit="0" vertical="center" wrapText="1"/>
    </xf>
    <xf borderId="10" fillId="9" fontId="13" numFmtId="3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12" fillId="0" fontId="3" numFmtId="37" xfId="0" applyAlignment="1" applyBorder="1" applyFont="1" applyNumberFormat="1">
      <alignment readingOrder="0"/>
    </xf>
    <xf borderId="12" fillId="0" fontId="3" numFmtId="0" xfId="0" applyAlignment="1" applyBorder="1" applyFont="1">
      <alignment readingOrder="0"/>
    </xf>
    <xf borderId="12" fillId="0" fontId="18" numFmtId="37" xfId="0" applyAlignment="1" applyBorder="1" applyFont="1" applyNumberFormat="1">
      <alignment readingOrder="0"/>
    </xf>
    <xf borderId="12" fillId="0" fontId="3" numFmtId="37" xfId="0" applyAlignment="1" applyBorder="1" applyFont="1" applyNumberFormat="1">
      <alignment readingOrder="0" shrinkToFit="0" wrapText="0"/>
    </xf>
    <xf borderId="12" fillId="0" fontId="3" numFmtId="37" xfId="0" applyBorder="1" applyFont="1" applyNumberFormat="1"/>
    <xf borderId="12" fillId="0" fontId="3" numFmtId="0" xfId="0" applyBorder="1" applyFont="1"/>
    <xf borderId="10" fillId="0" fontId="3" numFmtId="37" xfId="0" applyAlignment="1" applyBorder="1" applyFont="1" applyNumberFormat="1">
      <alignment readingOrder="0"/>
    </xf>
    <xf borderId="10" fillId="0" fontId="3" numFmtId="0" xfId="0" applyAlignment="1" applyBorder="1" applyFont="1">
      <alignment readingOrder="0"/>
    </xf>
    <xf borderId="10" fillId="0" fontId="19" numFmtId="37" xfId="0" applyAlignment="1" applyBorder="1" applyFont="1" applyNumberFormat="1">
      <alignment readingOrder="0"/>
    </xf>
    <xf borderId="10" fillId="0" fontId="3" numFmtId="37" xfId="0" applyAlignment="1" applyBorder="1" applyFont="1" applyNumberFormat="1">
      <alignment readingOrder="0" shrinkToFit="0" wrapText="0"/>
    </xf>
    <xf borderId="10" fillId="0" fontId="7" numFmtId="0" xfId="0" applyBorder="1" applyFont="1"/>
    <xf borderId="10" fillId="0" fontId="3" numFmtId="37" xfId="0" applyBorder="1" applyFont="1" applyNumberFormat="1"/>
    <xf borderId="10" fillId="0" fontId="3" numFmtId="0" xfId="0" applyBorder="1" applyFont="1"/>
    <xf borderId="13" fillId="0" fontId="3" numFmtId="37" xfId="0" applyAlignment="1" applyBorder="1" applyFont="1" applyNumberFormat="1">
      <alignment readingOrder="0"/>
    </xf>
    <xf borderId="13" fillId="0" fontId="3" numFmtId="0" xfId="0" applyAlignment="1" applyBorder="1" applyFont="1">
      <alignment readingOrder="0"/>
    </xf>
    <xf borderId="13" fillId="0" fontId="20" numFmtId="37" xfId="0" applyAlignment="1" applyBorder="1" applyFont="1" applyNumberFormat="1">
      <alignment readingOrder="0"/>
    </xf>
    <xf borderId="13" fillId="0" fontId="7" numFmtId="0" xfId="0" applyBorder="1" applyFont="1"/>
    <xf borderId="13" fillId="0" fontId="3" numFmtId="37" xfId="0" applyBorder="1" applyFont="1" applyNumberFormat="1"/>
    <xf borderId="13" fillId="0" fontId="3" numFmtId="0" xfId="0" applyBorder="1" applyFont="1"/>
    <xf borderId="13" fillId="0" fontId="3" numFmtId="0" xfId="0" applyAlignment="1" applyBorder="1" applyFont="1">
      <alignment readingOrder="0" vertical="bottom"/>
    </xf>
    <xf borderId="13" fillId="0" fontId="3" numFmtId="0" xfId="0" applyBorder="1" applyFont="1"/>
    <xf borderId="13" fillId="0" fontId="3" numFmtId="37" xfId="0" applyAlignment="1" applyBorder="1" applyFont="1" applyNumberFormat="1">
      <alignment readingOrder="0" shrinkToFit="0" wrapText="0"/>
    </xf>
    <xf borderId="0" fillId="0" fontId="7" numFmtId="0" xfId="0" applyFont="1"/>
    <xf borderId="7" fillId="9" fontId="13" numFmtId="0" xfId="0" applyAlignment="1" applyBorder="1" applyFont="1">
      <alignment horizontal="center" vertical="center"/>
    </xf>
    <xf borderId="7" fillId="9" fontId="13" numFmtId="0" xfId="0" applyAlignment="1" applyBorder="1" applyFont="1">
      <alignment horizontal="center" readingOrder="0" shrinkToFit="0" vertical="center" wrapText="1"/>
    </xf>
    <xf borderId="7" fillId="9" fontId="13" numFmtId="49" xfId="0" applyAlignment="1" applyBorder="1" applyFont="1" applyNumberFormat="1">
      <alignment horizontal="center" vertical="center"/>
    </xf>
    <xf borderId="7" fillId="9" fontId="13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readingOrder="0" vertical="center"/>
    </xf>
    <xf borderId="7" fillId="9" fontId="13" numFmtId="3" xfId="0" applyAlignment="1" applyBorder="1" applyFont="1" applyNumberFormat="1">
      <alignment horizontal="center" vertical="center"/>
    </xf>
    <xf borderId="0" fillId="9" fontId="13" numFmtId="0" xfId="0" applyAlignment="1" applyFont="1">
      <alignment horizontal="center" vertical="center"/>
    </xf>
    <xf borderId="9" fillId="0" fontId="21" numFmtId="37" xfId="0" applyAlignment="1" applyBorder="1" applyFont="1" applyNumberFormat="1">
      <alignment readingOrder="0"/>
    </xf>
    <xf borderId="0" fillId="0" fontId="22" numFmtId="37" xfId="0" applyAlignment="1" applyFont="1" applyNumberFormat="1">
      <alignment readingOrder="0"/>
    </xf>
    <xf borderId="1" fillId="2" fontId="1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3" fontId="4" numFmtId="0" xfId="0" applyAlignment="1" applyBorder="1" applyFont="1">
      <alignment horizontal="center" vertical="center"/>
    </xf>
    <xf borderId="4" fillId="3" fontId="4" numFmtId="37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readingOrder="0" vertical="center"/>
    </xf>
    <xf borderId="4" fillId="0" fontId="3" numFmtId="37" xfId="0" applyAlignment="1" applyBorder="1" applyFont="1" applyNumberFormat="1">
      <alignment vertical="center"/>
    </xf>
    <xf borderId="4" fillId="4" fontId="5" numFmtId="3" xfId="0" applyAlignment="1" applyBorder="1" applyFont="1" applyNumberFormat="1">
      <alignment horizontal="center" vertical="center"/>
    </xf>
    <xf borderId="4" fillId="4" fontId="5" numFmtId="3" xfId="0" applyAlignment="1" applyBorder="1" applyFont="1" applyNumberFormat="1">
      <alignment shrinkToFit="0" vertical="center" wrapText="1"/>
    </xf>
    <xf borderId="4" fillId="0" fontId="5" numFmtId="164" xfId="0" applyAlignment="1" applyBorder="1" applyFont="1" applyNumberFormat="1">
      <alignment horizontal="right" vertical="center"/>
    </xf>
    <xf borderId="0" fillId="2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4" fillId="3" fontId="3" numFmtId="165" xfId="0" applyAlignment="1" applyBorder="1" applyFont="1" applyNumberFormat="1">
      <alignment vertical="center"/>
    </xf>
    <xf borderId="4" fillId="4" fontId="3" numFmtId="3" xfId="0" applyAlignment="1" applyBorder="1" applyFont="1" applyNumberFormat="1">
      <alignment vertical="center"/>
    </xf>
    <xf borderId="4" fillId="0" fontId="3" numFmtId="164" xfId="0" applyAlignment="1" applyBorder="1" applyFont="1" applyNumberFormat="1">
      <alignment vertical="center"/>
    </xf>
    <xf borderId="1" fillId="5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4" fillId="2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4" fontId="3" numFmtId="0" xfId="0" applyAlignment="1" applyFont="1">
      <alignment vertical="center"/>
    </xf>
    <xf borderId="5" fillId="6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5" fillId="7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6" fillId="0" fontId="3" numFmtId="49" xfId="0" applyAlignment="1" applyBorder="1" applyFont="1" applyNumberFormat="1">
      <alignment vertical="center"/>
    </xf>
    <xf borderId="6" fillId="0" fontId="3" numFmtId="3" xfId="0" applyAlignment="1" applyBorder="1" applyFont="1" applyNumberFormat="1">
      <alignment vertical="center"/>
    </xf>
    <xf borderId="9" fillId="0" fontId="3" numFmtId="37" xfId="0" applyAlignment="1" applyBorder="1" applyFont="1" applyNumberFormat="1">
      <alignment readingOrder="0" vertical="center"/>
    </xf>
    <xf borderId="9" fillId="0" fontId="23" numFmtId="37" xfId="0" applyAlignment="1" applyBorder="1" applyFont="1" applyNumberFormat="1">
      <alignment horizontal="center" readingOrder="0" vertical="center"/>
    </xf>
    <xf borderId="9" fillId="0" fontId="3" numFmtId="169" xfId="0" applyAlignment="1" applyBorder="1" applyFont="1" applyNumberFormat="1">
      <alignment readingOrder="0" vertical="center"/>
    </xf>
    <xf borderId="9" fillId="0" fontId="22" numFmtId="37" xfId="0" applyAlignment="1" applyBorder="1" applyFont="1" applyNumberFormat="1">
      <alignment readingOrder="0" vertical="center"/>
    </xf>
    <xf borderId="9" fillId="0" fontId="3" numFmtId="37" xfId="0" applyAlignment="1" applyBorder="1" applyFont="1" applyNumberFormat="1">
      <alignment readingOrder="0" shrinkToFit="0" vertical="center" wrapText="1"/>
    </xf>
    <xf borderId="0" fillId="0" fontId="7" numFmtId="37" xfId="0" applyAlignment="1" applyFont="1" applyNumberFormat="1">
      <alignment vertical="center"/>
    </xf>
    <xf borderId="7" fillId="7" fontId="1" numFmtId="0" xfId="0" applyAlignment="1" applyBorder="1" applyFont="1">
      <alignment horizontal="center" shrinkToFit="0" vertical="center" wrapText="1"/>
    </xf>
    <xf borderId="9" fillId="0" fontId="3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83a81b1f-260f-4bc3-bd58-89afcdf8df71}">
    <Anchor>
      <Comment id="{2a98f05d-b701-49f4-b99e-39dcfed70540}"/>
    </Anchor>
    <History>
      <Event time="2026-03-18T07:01:28.00" id="{539e3023-7544-4d71-9986-2f9cb05f3d4f}">
        <Attribution userId="placeholder@email.com" userName="Gerry Hutomo" userProvider="google-sheets"/>
        <Anchor>
          <Comment id="{2a98f05d-b701-49f4-b99e-39dcfed70540}"/>
        </Anchor>
        <Create/>
      </Event>
      <Event time="2026-03-18T07:01:28.00" id="{c51cd227-6bfb-465c-8045-406208364e36}">
        <Attribution userId="placeholder@email.com" userName="Gerry Hutomo" userProvider="google-sheets"/>
        <Anchor>
          <Comment id="{2a98f05d-b701-49f4-b99e-39dcfed70540}"/>
        </Anchor>
        <Assign userId="finance@wearebeyondviral.com" userName="finance@wearebeyondvira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nance@wearebeyondviral.com" id="{18eab353-dbf7-42dc-90f8-37f66047a503}" userId="finance@wearebeyondviral.com" providerId="google-sheets"/>
  <x18tc:person displayName="Gerry Hutomo" id="{68cd9a16-d099-4674-8098-412fa7fb9e3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2" dT="2026-03-18T07:01:28.00" personId="{68cd9a16-d099-4674-8098-412fa7fb9e39}" id="{2a98f05d-b701-49f4-b99e-39dcfed70540}" done="0">
    <x18tc:text xml:space="preserve">@finance@wearebeyondviral.com ternyata yg egi dan adudu jg yaaa, vendor vera nanti aja
Assigned to finance@wearebeyondviral.com</x18tc:text>
    <x18tc:mentions>
      <x18tc:mention mentionpersonId="{18eab353-dbf7-42dc-90f8-37f66047a503}" mentionId="{21156dd3-5a5f-4f55-b08f-00dca07d6332}" startIndex="0" length="2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K-PImYBicstCGFmg2rkIAGXaFU5XnAC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L5N-clVWJIhK9MigLIoVRL4DU4YucNp/view?usp=sharing" TargetMode="External"/><Relationship Id="rId2" Type="http://schemas.openxmlformats.org/officeDocument/2006/relationships/hyperlink" Target="https://drive.google.com/file/d/1NC8nWGwYtyarJ0dH-LBcivxguOZ24w9q/view?usp=drive_lin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2YKsuHwCFkhw-fjsgbRU5JK6Ul7kUeO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oe3bc1UzUoYEFlj_Cfp5wHPWr7O_XVA/view?usp=drive_link" TargetMode="External"/><Relationship Id="rId2" Type="http://schemas.openxmlformats.org/officeDocument/2006/relationships/hyperlink" Target="https://drive.google.com/drive/folders/1mK8I65XI8LKFNCrJrLjbqG3lVJTBZF_I?usp=sharing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iD60MnEXVyKorG2ISfE0SBEZKE7wQ3V/view?usp=sharing" TargetMode="External"/><Relationship Id="rId2" Type="http://schemas.openxmlformats.org/officeDocument/2006/relationships/hyperlink" Target="https://drive.google.com/file/d/1U-mhnJ7SkX9xmewQDL0wnWmYTegLO1QK/view?usp=drive_link" TargetMode="External"/><Relationship Id="rId3" Type="http://schemas.openxmlformats.org/officeDocument/2006/relationships/hyperlink" Target="https://drive.google.com/file/d/1QOD2f9BgKnefWt2mIFbHPtbZktVibQmj/view?usp=drive_link" TargetMode="External"/><Relationship Id="rId4" Type="http://schemas.openxmlformats.org/officeDocument/2006/relationships/hyperlink" Target="https://drive.google.com/file/d/1ii496T0kzxjlu0be0vj6a7dcU8yLisrZ/view?usp=drive_link" TargetMode="External"/><Relationship Id="rId5" Type="http://schemas.openxmlformats.org/officeDocument/2006/relationships/hyperlink" Target="https://drive.google.com/file/d/1Qyefj1VdgU27y5kupaa53N4M0jJAxnrT/view?usp=sharing" TargetMode="External"/><Relationship Id="rId6" Type="http://schemas.openxmlformats.org/officeDocument/2006/relationships/hyperlink" Target="https://drive.google.com/file/d/195wRY9pQgH_92wxWmevWtkUAZyk3VsWq/view?usp=sharing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oNusH5CyIKSOrRgHtK5rgqIzkt_p5hg/view?usp=drive_link" TargetMode="External"/><Relationship Id="rId2" Type="http://schemas.openxmlformats.org/officeDocument/2006/relationships/hyperlink" Target="https://drive.google.com/file/d/1MmGsZDtnsMbkLUDpUydjtQbDOsrbjQHR/view?usp=drive_link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1.xml"/><Relationship Id="rId11" Type="http://schemas.openxmlformats.org/officeDocument/2006/relationships/hyperlink" Target="https://drive.google.com/file/d/1Nnxmw4TO6CEvfWnfA7yZaQHlMnewqKln/view?usp=sharing" TargetMode="External"/><Relationship Id="rId10" Type="http://schemas.openxmlformats.org/officeDocument/2006/relationships/hyperlink" Target="https://drive.google.com/file/d/1tKnLqBiT9pU4XKzUeDcUiCDUZ5x77uFn/view?usp=drive_link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rive.google.com/file/d/1lwwxF_hhTFr7NbullhbATtv6kcuxpnxO/view?usp=drive_link" TargetMode="External"/><Relationship Id="rId12" Type="http://schemas.openxmlformats.org/officeDocument/2006/relationships/hyperlink" Target="https://drive.google.com/file/d/1FRD7EgKsPWCPh9oWaMjgKD4f3ssh0Iix/view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VOobzEVyGNXYhcvR-ng-2mWbfXQ-c1Og" TargetMode="External"/><Relationship Id="rId9" Type="http://schemas.openxmlformats.org/officeDocument/2006/relationships/hyperlink" Target="https://drive.google.com/file/d/1dcGUB-AxAETuh52g4kAJ0KS8EQitOu6a/view?usp=drive_link" TargetMode="External"/><Relationship Id="rId15" Type="http://schemas.openxmlformats.org/officeDocument/2006/relationships/hyperlink" Target="https://drive.google.com/file/d/1ND7I5qKS7GfglT_W0fP7Rxv9PfyNyE2Z/view?usp=sharing" TargetMode="External"/><Relationship Id="rId14" Type="http://schemas.openxmlformats.org/officeDocument/2006/relationships/hyperlink" Target="https://drive.google.com/file/d/1rURolg8XVXu4izZwIcpBEGve5eM0l7dh/view?usp=drive_link" TargetMode="External"/><Relationship Id="rId17" Type="http://schemas.openxmlformats.org/officeDocument/2006/relationships/hyperlink" Target="https://drive.google.com/file/d/1apDDS4a78BUMn1-295VsYDtM23y63vME/view?usp=drive_link" TargetMode="External"/><Relationship Id="rId16" Type="http://schemas.openxmlformats.org/officeDocument/2006/relationships/hyperlink" Target="https://drive.google.com/file/d/17cCjEPDzvGUWqvG2w6F9ncnRj7qw6nWX/view?usp=sharing" TargetMode="External"/><Relationship Id="rId5" Type="http://schemas.openxmlformats.org/officeDocument/2006/relationships/hyperlink" Target="https://drive.google.com/file/d/1r5myvSG9XNDoUpMYgc4fW1IuEpiv-FHK/view?usp=drive_link" TargetMode="External"/><Relationship Id="rId19" Type="http://schemas.openxmlformats.org/officeDocument/2006/relationships/hyperlink" Target="https://drive.google.com/file/d/1awUDrWf4eKMO2CZbl1nwqOGJoOPWJ3c3/view?usp=drive_link" TargetMode="External"/><Relationship Id="rId6" Type="http://schemas.openxmlformats.org/officeDocument/2006/relationships/hyperlink" Target="https://drive.google.com/file/d/1LA1qDPLlQCzTww8GJg-ZJWCWZUsBKkF8/view?usp=drive_link" TargetMode="External"/><Relationship Id="rId18" Type="http://schemas.openxmlformats.org/officeDocument/2006/relationships/hyperlink" Target="https://drive.google.com/file/d/1r4jdZ66xxJNwUZXS57xTOgt0hJAcaTnc/view?usp=drive_link" TargetMode="External"/><Relationship Id="rId7" Type="http://schemas.openxmlformats.org/officeDocument/2006/relationships/hyperlink" Target="https://drive.google.com/file/d/15iXxlqUXb0Jx7R6g58y4ULUDZ4Hj7lrt/view?usp=drive_link" TargetMode="External"/><Relationship Id="rId8" Type="http://schemas.openxmlformats.org/officeDocument/2006/relationships/hyperlink" Target="https://drive.google.com/file/d/1qmEZcmLUmq3nrhsmRksu-Ii_S65Dytzq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4nUrc5DH811RTESgzLsuGHFj8H4_Dsiq/view?usp=drive_link" TargetMode="External"/><Relationship Id="rId11" Type="http://schemas.openxmlformats.org/officeDocument/2006/relationships/hyperlink" Target="https://drive.google.com/file/d/1A0rhKmeRNkELOZCiwZZM-NGn3xONHlog/view?usp=drive_link" TargetMode="External"/><Relationship Id="rId10" Type="http://schemas.openxmlformats.org/officeDocument/2006/relationships/hyperlink" Target="https://drive.google.com/file/d/1khlB46y8DNJrPNNZ_d9pLaYrL3y8uLo9/view?usp=drive_link" TargetMode="External"/><Relationship Id="rId21" Type="http://schemas.openxmlformats.org/officeDocument/2006/relationships/drawing" Target="../drawings/drawing12.xml"/><Relationship Id="rId13" Type="http://schemas.openxmlformats.org/officeDocument/2006/relationships/hyperlink" Target="https://drive.google.com/file/d/1YAjy5hjYpKuZSskz7teMM9OQfO4mv5oR/view?usp=drive_link" TargetMode="External"/><Relationship Id="rId12" Type="http://schemas.openxmlformats.org/officeDocument/2006/relationships/hyperlink" Target="https://drive.google.com/file/d/1TeD5pziv9FZFGeVybqSCgLEHuCdrR62h/view?usp=drive_link" TargetMode="External"/><Relationship Id="rId1" Type="http://schemas.openxmlformats.org/officeDocument/2006/relationships/hyperlink" Target="https://drive.google.com/drive/folders/1Ubf3kckAf-OHSur0Qov-ITaxPz-ruv3u" TargetMode="External"/><Relationship Id="rId2" Type="http://schemas.openxmlformats.org/officeDocument/2006/relationships/hyperlink" Target="https://drive.google.com/file/d/14cVhDeDcwLDy0EdLELPo6zhAy8CWA9Pg/view?usp=drive_link" TargetMode="External"/><Relationship Id="rId3" Type="http://schemas.openxmlformats.org/officeDocument/2006/relationships/hyperlink" Target="https://drive.google.com/file/d/1ylgRuFKnyr-j_DFQj4ywEVNkBhONO3QA/view?usp=drive_link" TargetMode="External"/><Relationship Id="rId4" Type="http://schemas.openxmlformats.org/officeDocument/2006/relationships/hyperlink" Target="https://drive.google.com/file/d/1p0KyuKCr8hoGQ7i_1DfTzN7xiikPNdn6/view?usp=drive_link" TargetMode="External"/><Relationship Id="rId9" Type="http://schemas.openxmlformats.org/officeDocument/2006/relationships/hyperlink" Target="https://drive.google.com/file/d/1oT4ggG371l-X7GLSQlYcroP4GHFCqlqL/view?usp=drive_link" TargetMode="External"/><Relationship Id="rId15" Type="http://schemas.openxmlformats.org/officeDocument/2006/relationships/hyperlink" Target="https://drive.google.com/file/d/1PesQqUtF2LmS55NjhoPKdKEGZu7e7iKM/view?usp=drive_link" TargetMode="External"/><Relationship Id="rId14" Type="http://schemas.openxmlformats.org/officeDocument/2006/relationships/hyperlink" Target="https://drive.google.com/file/d/1DCcT-l3d4hhQIqLlfTtySYJV41Qx7ABo/view?usp=drive_link" TargetMode="External"/><Relationship Id="rId17" Type="http://schemas.openxmlformats.org/officeDocument/2006/relationships/hyperlink" Target="https://drive.google.com/file/d/1h9ckkLqD6rwoHgeSjGuKdx7kiOj0khnK/view?usp=drive_link" TargetMode="External"/><Relationship Id="rId16" Type="http://schemas.openxmlformats.org/officeDocument/2006/relationships/hyperlink" Target="https://drive.google.com/file/d/1fKeF0y7ToKmLRBULkA47LzbN_jgg2z3r/view?usp=drive_link" TargetMode="External"/><Relationship Id="rId5" Type="http://schemas.openxmlformats.org/officeDocument/2006/relationships/hyperlink" Target="https://drive.google.com/file/d/1OlaUFpKYkvX7k9dfkORWmChzrOhckYNT/view?usp=drive_link" TargetMode="External"/><Relationship Id="rId19" Type="http://schemas.openxmlformats.org/officeDocument/2006/relationships/hyperlink" Target="https://drive.google.com/file/d/1MA-ZjgZl4LX676r-xYqEMVd9yZzgdCAc/view?usp=drive_link" TargetMode="External"/><Relationship Id="rId6" Type="http://schemas.openxmlformats.org/officeDocument/2006/relationships/hyperlink" Target="https://drive.google.com/file/d/16v98-DmVSzDSN_Dbcn2kk8BmnCo71JO-/view?usp=drive_link" TargetMode="External"/><Relationship Id="rId18" Type="http://schemas.openxmlformats.org/officeDocument/2006/relationships/hyperlink" Target="https://drive.google.com/file/d/1L1rmY0kW5Vuq9h9Jk0SN-sHgxKlfuofN/view?usp=drive_link" TargetMode="External"/><Relationship Id="rId7" Type="http://schemas.openxmlformats.org/officeDocument/2006/relationships/hyperlink" Target="https://drive.google.com/file/d/1nDoRRfOMLfZYVutfAdMfuCY6zj1gEAmn/view?usp=drive_link" TargetMode="External"/><Relationship Id="rId8" Type="http://schemas.openxmlformats.org/officeDocument/2006/relationships/hyperlink" Target="https://docs.google.com/document/d/12OQxrZPLxm53ZCUxmZCPRjcAJkfpiLVw/edit?usp=drive_link&amp;ouid=108606601271173490838&amp;rtpof=true&amp;sd=true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Pmi0ZaC5wl5PifmiLymq7ItjCbmoDwR/view?usp=drive_link" TargetMode="External"/><Relationship Id="rId2" Type="http://schemas.openxmlformats.org/officeDocument/2006/relationships/hyperlink" Target="https://drive.google.com/file/d/1E9fCMA-D4tsVdoJtmU48ALHDN2TW3Mkb/view?usp=drive_link" TargetMode="External"/><Relationship Id="rId3" Type="http://schemas.openxmlformats.org/officeDocument/2006/relationships/hyperlink" Target="https://drive.google.com/file/d/10lUJdiAPAWXJQunu4LR8g2N6fIUByZs0/view?usp=drive_link" TargetMode="External"/><Relationship Id="rId4" Type="http://schemas.openxmlformats.org/officeDocument/2006/relationships/hyperlink" Target="https://drive.google.com/file/d/1z0yAy9WUTRJ-Sfg014NMmJ-PZGz3MseM/view?usp=drive_link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s://drive.google.com/file/d/1nGzZVUgR7kh6QryTJaQVe2XwviQOHHCQ/view?usp=drive_link" TargetMode="External"/><Relationship Id="rId6" Type="http://schemas.openxmlformats.org/officeDocument/2006/relationships/hyperlink" Target="https://drive.google.com/file/d/1KJnPgWolplg3u9e_vdD_tFNlrQ6Yqina/view?usp=drive_link" TargetMode="External"/><Relationship Id="rId7" Type="http://schemas.openxmlformats.org/officeDocument/2006/relationships/hyperlink" Target="https://drive.google.com/file/d/1_8-mStsLY6aG0yjWICiYvEu0FsPoOFh1/view?usp=drive_link" TargetMode="External"/><Relationship Id="rId8" Type="http://schemas.openxmlformats.org/officeDocument/2006/relationships/hyperlink" Target="https://drive.google.com/file/d/1L25L4fhQmz2BX6QJTSdFkwNhIDpUlOYJ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lU1Itl3Ou9rXvBOMH0R3O-GIsUfGjeM/view?usp=share_link" TargetMode="External"/><Relationship Id="rId2" Type="http://schemas.openxmlformats.org/officeDocument/2006/relationships/hyperlink" Target="https://drive.google.com/file/d/1uQugfB8DCE8-aZqYAaeObvYcNiKsG_pV/view?usp=share_link" TargetMode="External"/><Relationship Id="rId3" Type="http://schemas.openxmlformats.org/officeDocument/2006/relationships/hyperlink" Target="https://drive.google.com/file/d/1UVsw9qXuLJ-8t0NX2qNccitnkY7-7ebh/view?usp=share_link" TargetMode="External"/><Relationship Id="rId4" Type="http://schemas.openxmlformats.org/officeDocument/2006/relationships/hyperlink" Target="https://drive.google.com/file/d/1yKTJ-yARblPJA8NxDaQk_2McqiXMOxzn/view?usp=share_link" TargetMode="External"/><Relationship Id="rId5" Type="http://schemas.openxmlformats.org/officeDocument/2006/relationships/hyperlink" Target="https://drive.google.com/file/d/1gW6SzWl8lnvzLD1_SFuHmlqWPjXgFqb5/view?usp=share_link" TargetMode="External"/><Relationship Id="rId6" Type="http://schemas.openxmlformats.org/officeDocument/2006/relationships/hyperlink" Target="https://drive.google.com/file/d/15Lks3WHBDaBcEFeJH8aKuIvC7MXOaaOo/view?usp=share_link" TargetMode="External"/><Relationship Id="rId7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0"/>
      <c r="B22" s="40"/>
      <c r="C22" s="40"/>
      <c r="D22" s="40"/>
      <c r="E22" s="40"/>
      <c r="F22" s="40"/>
      <c r="G22" s="40"/>
      <c r="H22" s="41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/>
    </row>
    <row r="23">
      <c r="A23" s="40"/>
      <c r="B23" s="40"/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41</v>
      </c>
      <c r="B22" s="44" t="s">
        <v>42</v>
      </c>
      <c r="C22" s="40"/>
      <c r="D22" s="40"/>
      <c r="E22" s="40"/>
      <c r="F22" s="40"/>
      <c r="G22" s="40"/>
      <c r="H22" s="41"/>
      <c r="I22" s="40"/>
      <c r="J22" s="40"/>
      <c r="K22" s="45" t="s">
        <v>43</v>
      </c>
      <c r="L22" s="40"/>
      <c r="M22" s="40"/>
      <c r="N22" s="40"/>
      <c r="O22" s="40"/>
      <c r="P22" s="40"/>
      <c r="Q22" s="40"/>
      <c r="R22" s="40"/>
      <c r="S22" s="42"/>
    </row>
    <row r="23">
      <c r="A23" s="40"/>
      <c r="B23" s="40"/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hyperlinks>
    <hyperlink r:id="rId1" ref="K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0"/>
      <c r="B22" s="40"/>
      <c r="C22" s="40"/>
      <c r="D22" s="40"/>
      <c r="E22" s="40"/>
      <c r="F22" s="40"/>
      <c r="G22" s="40"/>
      <c r="H22" s="41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/>
    </row>
    <row r="23">
      <c r="A23" s="40"/>
      <c r="B23" s="40"/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1">
      <c r="B1" s="46"/>
    </row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47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/>
      <c r="B4" s="48"/>
      <c r="C4" s="49" t="s">
        <v>44</v>
      </c>
      <c r="D4" s="49">
        <v>2.0</v>
      </c>
      <c r="E4" s="9" t="s">
        <v>9</v>
      </c>
      <c r="F4" s="50">
        <v>4000000.0</v>
      </c>
      <c r="G4" s="11"/>
      <c r="H4" s="12" t="s">
        <v>11</v>
      </c>
    </row>
    <row r="5">
      <c r="A5" s="13"/>
      <c r="B5" s="48"/>
      <c r="C5" s="14"/>
      <c r="D5" s="14"/>
      <c r="E5" s="14"/>
      <c r="F5" s="15"/>
    </row>
    <row r="6">
      <c r="A6" s="13"/>
      <c r="B6" s="48"/>
      <c r="C6" s="14"/>
      <c r="D6" s="14"/>
      <c r="E6" s="14"/>
      <c r="F6" s="15"/>
    </row>
    <row r="7">
      <c r="A7" s="13"/>
      <c r="B7" s="48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4000000</v>
      </c>
    </row>
    <row r="10">
      <c r="A10" s="18" t="s">
        <v>14</v>
      </c>
      <c r="B10" s="2"/>
      <c r="C10" s="2"/>
      <c r="D10" s="2"/>
      <c r="E10" s="17"/>
      <c r="F10" s="19">
        <f>ROUND(F9*11/12,0)</f>
        <v>3666667</v>
      </c>
    </row>
    <row r="11">
      <c r="A11" s="18" t="s">
        <v>15</v>
      </c>
      <c r="B11" s="2"/>
      <c r="C11" s="2"/>
      <c r="D11" s="2"/>
      <c r="E11" s="17"/>
      <c r="F11" s="19">
        <f>ROUND(F10*12%,0)</f>
        <v>440000</v>
      </c>
    </row>
    <row r="12">
      <c r="A12" s="18" t="s">
        <v>16</v>
      </c>
      <c r="B12" s="2"/>
      <c r="C12" s="2"/>
      <c r="D12" s="2"/>
      <c r="E12" s="17"/>
      <c r="F12" s="19">
        <f>F9+F11</f>
        <v>4440000</v>
      </c>
    </row>
    <row r="13">
      <c r="B13" s="46"/>
    </row>
    <row r="14">
      <c r="B14" s="46"/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5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52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52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5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4" t="s">
        <v>20</v>
      </c>
      <c r="B20" s="34" t="s">
        <v>21</v>
      </c>
      <c r="C20" s="32" t="s">
        <v>22</v>
      </c>
      <c r="D20" s="34" t="s">
        <v>23</v>
      </c>
      <c r="E20" s="34" t="s">
        <v>24</v>
      </c>
      <c r="F20" s="34" t="s">
        <v>25</v>
      </c>
      <c r="G20" s="34" t="s">
        <v>26</v>
      </c>
      <c r="H20" s="53" t="s">
        <v>27</v>
      </c>
      <c r="I20" s="34" t="s">
        <v>28</v>
      </c>
      <c r="J20" s="32" t="s">
        <v>29</v>
      </c>
      <c r="K20" s="32" t="s">
        <v>30</v>
      </c>
      <c r="L20" s="34" t="s">
        <v>31</v>
      </c>
      <c r="M20" s="34" t="s">
        <v>32</v>
      </c>
      <c r="N20" s="34" t="s">
        <v>33</v>
      </c>
      <c r="O20" s="34" t="s">
        <v>34</v>
      </c>
      <c r="P20" s="54" t="s">
        <v>35</v>
      </c>
      <c r="Q20" s="36" t="s">
        <v>36</v>
      </c>
      <c r="R20" s="36" t="s">
        <v>37</v>
      </c>
      <c r="S20" s="55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56" t="s">
        <v>45</v>
      </c>
      <c r="B22" s="56" t="s">
        <v>46</v>
      </c>
      <c r="C22" s="56" t="s">
        <v>47</v>
      </c>
      <c r="D22" s="56" t="s">
        <v>48</v>
      </c>
      <c r="E22" s="57" t="s">
        <v>49</v>
      </c>
      <c r="F22" s="56" t="s">
        <v>50</v>
      </c>
      <c r="G22" s="56" t="s">
        <v>51</v>
      </c>
      <c r="H22" s="57">
        <v>6.470416317E9</v>
      </c>
      <c r="I22" s="56" t="s">
        <v>52</v>
      </c>
      <c r="J22" s="58" t="s">
        <v>53</v>
      </c>
      <c r="K22" s="58" t="s">
        <v>54</v>
      </c>
      <c r="L22" s="56" t="s">
        <v>55</v>
      </c>
      <c r="M22" s="56" t="s">
        <v>56</v>
      </c>
      <c r="N22" s="56" t="s">
        <v>57</v>
      </c>
      <c r="O22" s="56">
        <v>2000000.0</v>
      </c>
      <c r="P22" s="40">
        <f>O22/97.5%</f>
        <v>2051282.051</v>
      </c>
      <c r="Q22" s="59"/>
      <c r="R22" s="59"/>
      <c r="S22" s="60"/>
    </row>
    <row r="23">
      <c r="A23" s="56"/>
      <c r="B23" s="56"/>
      <c r="C23" s="56"/>
      <c r="D23" s="56"/>
      <c r="E23" s="57"/>
      <c r="F23" s="56"/>
      <c r="G23" s="56"/>
      <c r="H23" s="57"/>
      <c r="I23" s="56"/>
      <c r="J23" s="59"/>
      <c r="K23" s="59"/>
      <c r="L23" s="56"/>
      <c r="M23" s="56"/>
      <c r="N23" s="56"/>
      <c r="O23" s="56"/>
      <c r="P23" s="40"/>
      <c r="Q23" s="59"/>
      <c r="R23" s="59"/>
      <c r="S23" s="60"/>
    </row>
    <row r="24">
      <c r="A24" s="40"/>
      <c r="B24" s="59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59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59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59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28">
      <c r="B28" s="46"/>
    </row>
    <row r="29">
      <c r="B29" s="46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60"/>
    </row>
    <row r="33">
      <c r="A33" s="43"/>
      <c r="B33" s="60"/>
    </row>
    <row r="34">
      <c r="A34" s="43"/>
      <c r="B34" s="60"/>
    </row>
    <row r="35">
      <c r="A35" s="43"/>
      <c r="B35" s="60"/>
    </row>
    <row r="36">
      <c r="A36" s="43"/>
      <c r="B36" s="60"/>
    </row>
    <row r="37">
      <c r="A37" s="21"/>
      <c r="B37" s="51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hyperlinks>
    <hyperlink r:id="rId1" ref="J22"/>
    <hyperlink r:id="rId2" ref="K2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41</v>
      </c>
      <c r="B22" s="44" t="s">
        <v>58</v>
      </c>
      <c r="C22" s="40"/>
      <c r="D22" s="40"/>
      <c r="E22" s="40"/>
      <c r="F22" s="40"/>
      <c r="G22" s="40"/>
      <c r="H22" s="41"/>
      <c r="I22" s="40"/>
      <c r="J22" s="40"/>
      <c r="K22" s="40"/>
      <c r="L22" s="40"/>
      <c r="M22" s="40"/>
      <c r="N22" s="44" t="s">
        <v>59</v>
      </c>
      <c r="O22" s="44">
        <v>6750000.0</v>
      </c>
      <c r="P22" s="40"/>
      <c r="Q22" s="40"/>
      <c r="R22" s="40"/>
      <c r="S22" s="42"/>
    </row>
    <row r="23">
      <c r="A23" s="40"/>
      <c r="B23" s="40"/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41</v>
      </c>
      <c r="B22" s="44" t="s">
        <v>60</v>
      </c>
      <c r="C22" s="40"/>
      <c r="D22" s="40"/>
      <c r="E22" s="40"/>
      <c r="F22" s="40"/>
      <c r="G22" s="40"/>
      <c r="H22" s="41"/>
      <c r="I22" s="40"/>
      <c r="J22" s="40"/>
      <c r="K22" s="40"/>
      <c r="L22" s="40"/>
      <c r="M22" s="40"/>
      <c r="N22" s="44" t="s">
        <v>61</v>
      </c>
      <c r="O22" s="44">
        <v>4500000.0</v>
      </c>
      <c r="P22" s="40"/>
      <c r="Q22" s="40"/>
      <c r="R22" s="40"/>
      <c r="S22" s="42"/>
    </row>
    <row r="23">
      <c r="A23" s="40"/>
      <c r="B23" s="44" t="s">
        <v>62</v>
      </c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4" t="s">
        <v>61</v>
      </c>
      <c r="O23" s="44">
        <v>1000000.0</v>
      </c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28">
      <c r="O28" s="61">
        <f>SUM(O21:O27)</f>
        <v>5500000</v>
      </c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41</v>
      </c>
      <c r="B22" s="44" t="s">
        <v>63</v>
      </c>
      <c r="C22" s="44" t="s">
        <v>64</v>
      </c>
      <c r="D22" s="40"/>
      <c r="E22" s="40"/>
      <c r="F22" s="44"/>
      <c r="G22" s="40"/>
      <c r="H22" s="41"/>
      <c r="I22" s="40"/>
      <c r="J22" s="40"/>
      <c r="K22" s="45" t="s">
        <v>65</v>
      </c>
      <c r="L22" s="40"/>
      <c r="M22" s="40"/>
      <c r="N22" s="40"/>
      <c r="O22" s="44">
        <v>1450000.0</v>
      </c>
      <c r="P22" s="40">
        <f t="shared" ref="P22:P29" si="1">O22/97.5%</f>
        <v>1487179.487</v>
      </c>
      <c r="Q22" s="40"/>
      <c r="R22" s="40"/>
      <c r="S22" s="42"/>
    </row>
    <row r="23">
      <c r="A23" s="44" t="s">
        <v>41</v>
      </c>
      <c r="B23" s="62" t="s">
        <v>66</v>
      </c>
      <c r="C23" s="44" t="s">
        <v>64</v>
      </c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4">
        <v>500000.0</v>
      </c>
      <c r="P23" s="40">
        <f t="shared" si="1"/>
        <v>512820.5128</v>
      </c>
      <c r="Q23" s="40"/>
      <c r="R23" s="40"/>
      <c r="S23" s="42"/>
    </row>
    <row r="24">
      <c r="A24" s="44" t="s">
        <v>41</v>
      </c>
      <c r="B24" s="62" t="s">
        <v>67</v>
      </c>
      <c r="C24" s="44" t="s">
        <v>64</v>
      </c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4">
        <v>270000.0</v>
      </c>
      <c r="P24" s="40">
        <f t="shared" si="1"/>
        <v>276923.0769</v>
      </c>
      <c r="Q24" s="40"/>
      <c r="R24" s="40"/>
      <c r="S24" s="42"/>
    </row>
    <row r="25">
      <c r="A25" s="44" t="s">
        <v>41</v>
      </c>
      <c r="B25" s="62" t="s">
        <v>68</v>
      </c>
      <c r="C25" s="44" t="s">
        <v>64</v>
      </c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4">
        <v>1800000.0</v>
      </c>
      <c r="P25" s="40">
        <f t="shared" si="1"/>
        <v>1846153.846</v>
      </c>
      <c r="Q25" s="40"/>
      <c r="R25" s="40"/>
      <c r="S25" s="42"/>
    </row>
    <row r="26">
      <c r="A26" s="44" t="s">
        <v>41</v>
      </c>
      <c r="B26" s="62" t="s">
        <v>69</v>
      </c>
      <c r="C26" s="44" t="s">
        <v>64</v>
      </c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4">
        <v>600000.0</v>
      </c>
      <c r="P26" s="40">
        <f t="shared" si="1"/>
        <v>615384.6154</v>
      </c>
      <c r="Q26" s="40"/>
      <c r="R26" s="40"/>
      <c r="S26" s="42"/>
    </row>
    <row r="27">
      <c r="A27" s="44" t="s">
        <v>41</v>
      </c>
      <c r="B27" s="62" t="s">
        <v>70</v>
      </c>
      <c r="C27" s="44" t="s">
        <v>64</v>
      </c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4">
        <v>1250000.0</v>
      </c>
      <c r="P27" s="40">
        <f t="shared" si="1"/>
        <v>1282051.282</v>
      </c>
      <c r="Q27" s="40"/>
      <c r="R27" s="40"/>
      <c r="S27" s="42"/>
    </row>
    <row r="28">
      <c r="A28" s="44" t="s">
        <v>41</v>
      </c>
      <c r="B28" s="42" t="s">
        <v>71</v>
      </c>
      <c r="C28" s="44" t="s">
        <v>64</v>
      </c>
      <c r="D28" s="40"/>
      <c r="E28" s="40"/>
      <c r="F28" s="40"/>
      <c r="G28" s="40"/>
      <c r="H28" s="41"/>
      <c r="I28" s="40"/>
      <c r="J28" s="40"/>
      <c r="K28" s="40"/>
      <c r="L28" s="40"/>
      <c r="M28" s="40"/>
      <c r="N28" s="40"/>
      <c r="O28" s="44">
        <v>500000.0</v>
      </c>
      <c r="P28" s="40">
        <f t="shared" si="1"/>
        <v>512820.5128</v>
      </c>
      <c r="Q28" s="40"/>
      <c r="R28" s="40"/>
      <c r="S28" s="42"/>
    </row>
    <row r="29">
      <c r="O29" s="61">
        <f>SUM(O21:O28)</f>
        <v>6370000</v>
      </c>
      <c r="P29" s="40">
        <f t="shared" si="1"/>
        <v>6533333.333</v>
      </c>
    </row>
    <row r="31">
      <c r="A31" s="36" t="s">
        <v>39</v>
      </c>
      <c r="B31" s="36" t="s">
        <v>40</v>
      </c>
    </row>
    <row r="32">
      <c r="A32" s="39"/>
      <c r="B32" s="39"/>
      <c r="D32" s="63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43"/>
      <c r="B37" s="42"/>
    </row>
    <row r="38">
      <c r="A38" s="21"/>
      <c r="B38" s="21"/>
      <c r="D38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1:A32"/>
    <mergeCell ref="B31:B32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8">
      <formula1>"100 % (Lunas),50 %,Not Paid"</formula1>
    </dataValidation>
  </dataValidations>
  <hyperlinks>
    <hyperlink r:id="rId1" ref="K2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41</v>
      </c>
      <c r="B22" s="44" t="s">
        <v>72</v>
      </c>
      <c r="C22" s="44" t="s">
        <v>73</v>
      </c>
      <c r="D22" s="44" t="s">
        <v>74</v>
      </c>
      <c r="E22" s="64" t="s">
        <v>75</v>
      </c>
      <c r="F22" s="44" t="s">
        <v>50</v>
      </c>
      <c r="G22" s="44" t="s">
        <v>76</v>
      </c>
      <c r="H22" s="65">
        <v>9.01569384409E11</v>
      </c>
      <c r="I22" s="44" t="s">
        <v>77</v>
      </c>
      <c r="J22" s="45" t="s">
        <v>78</v>
      </c>
      <c r="K22" s="45" t="s">
        <v>79</v>
      </c>
      <c r="L22" s="44" t="s">
        <v>80</v>
      </c>
      <c r="M22" s="66">
        <v>46122.0</v>
      </c>
      <c r="N22" s="44" t="s">
        <v>81</v>
      </c>
      <c r="O22" s="67">
        <v>2.473E7</v>
      </c>
      <c r="P22" s="40"/>
      <c r="Q22" s="40"/>
      <c r="R22" s="40"/>
      <c r="S22" s="65" t="s">
        <v>82</v>
      </c>
      <c r="T22" s="12" t="s">
        <v>83</v>
      </c>
    </row>
    <row r="23">
      <c r="A23" s="44" t="s">
        <v>41</v>
      </c>
      <c r="B23" s="44" t="s">
        <v>84</v>
      </c>
      <c r="C23" s="44" t="s">
        <v>73</v>
      </c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67">
        <v>3000000.0</v>
      </c>
      <c r="P23" s="40"/>
      <c r="Q23" s="40"/>
      <c r="R23" s="40"/>
      <c r="S23" s="42"/>
    </row>
    <row r="24">
      <c r="A24" s="44" t="s">
        <v>41</v>
      </c>
      <c r="B24" s="44" t="s">
        <v>85</v>
      </c>
      <c r="C24" s="44" t="s">
        <v>73</v>
      </c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67">
        <v>3500000.0</v>
      </c>
      <c r="P24" s="40"/>
      <c r="Q24" s="40"/>
      <c r="R24" s="40"/>
      <c r="S24" s="42"/>
    </row>
    <row r="25">
      <c r="A25" s="44" t="s">
        <v>41</v>
      </c>
      <c r="B25" s="44" t="s">
        <v>86</v>
      </c>
      <c r="C25" s="44" t="s">
        <v>73</v>
      </c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67">
        <v>975000.0</v>
      </c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28">
      <c r="O28" s="61">
        <f>sum(O22:O27)</f>
        <v>32205000</v>
      </c>
    </row>
    <row r="29">
      <c r="N29" s="12" t="s">
        <v>87</v>
      </c>
      <c r="O29" s="61">
        <f>O28-(O22/2)</f>
        <v>19840000</v>
      </c>
    </row>
    <row r="30">
      <c r="A30" s="36" t="s">
        <v>39</v>
      </c>
      <c r="B30" s="36" t="s">
        <v>40</v>
      </c>
      <c r="O30" s="61">
        <f>O28-O29</f>
        <v>12365000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hyperlinks>
    <hyperlink r:id="rId1" ref="J22"/>
    <hyperlink r:id="rId2" ref="K2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3"/>
      <c r="R15" s="21"/>
      <c r="S15" s="21"/>
      <c r="T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3"/>
      <c r="R16" s="21"/>
      <c r="S16" s="21"/>
      <c r="T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3"/>
      <c r="R17" s="21"/>
      <c r="S17" s="21"/>
      <c r="T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3"/>
      <c r="R18" s="21"/>
      <c r="S18" s="21"/>
      <c r="T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30"/>
      <c r="R19" s="28"/>
      <c r="S19" s="28"/>
      <c r="T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68" t="s">
        <v>88</v>
      </c>
      <c r="Q20" s="35" t="s">
        <v>35</v>
      </c>
      <c r="R20" s="36" t="s">
        <v>36</v>
      </c>
      <c r="S20" s="37" t="s">
        <v>37</v>
      </c>
      <c r="T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69"/>
      <c r="Q21" s="39"/>
      <c r="R21" s="39"/>
      <c r="S21" s="39"/>
    </row>
    <row r="22">
      <c r="A22" s="70" t="s">
        <v>41</v>
      </c>
      <c r="B22" s="71" t="s">
        <v>89</v>
      </c>
      <c r="C22" s="70" t="s">
        <v>64</v>
      </c>
      <c r="D22" s="70" t="s">
        <v>90</v>
      </c>
      <c r="E22" s="70" t="s">
        <v>91</v>
      </c>
      <c r="F22" s="70" t="s">
        <v>50</v>
      </c>
      <c r="G22" s="70" t="s">
        <v>51</v>
      </c>
      <c r="H22" s="72">
        <v>3.930734712E9</v>
      </c>
      <c r="I22" s="70" t="s">
        <v>92</v>
      </c>
      <c r="J22" s="73" t="s">
        <v>93</v>
      </c>
      <c r="K22" s="73" t="s">
        <v>94</v>
      </c>
      <c r="L22" s="70" t="s">
        <v>95</v>
      </c>
      <c r="M22" s="74">
        <v>46085.0</v>
      </c>
      <c r="N22" s="70" t="s">
        <v>96</v>
      </c>
      <c r="O22" s="75">
        <v>5000000.0</v>
      </c>
      <c r="P22" s="76" t="s">
        <v>97</v>
      </c>
      <c r="Q22" s="70"/>
      <c r="R22" s="70"/>
      <c r="S22" s="70"/>
      <c r="T22" s="77" t="s">
        <v>82</v>
      </c>
      <c r="U22" s="78"/>
      <c r="V22" s="78"/>
      <c r="W22" s="78"/>
      <c r="X22" s="78"/>
      <c r="Y22" s="78"/>
      <c r="Z22" s="78"/>
      <c r="AA22" s="78"/>
    </row>
    <row r="23">
      <c r="A23" s="79" t="s">
        <v>41</v>
      </c>
      <c r="B23" s="79" t="s">
        <v>98</v>
      </c>
      <c r="C23" s="79" t="s">
        <v>64</v>
      </c>
      <c r="D23" s="79" t="s">
        <v>99</v>
      </c>
      <c r="E23" s="79" t="s">
        <v>100</v>
      </c>
      <c r="F23" s="79" t="s">
        <v>50</v>
      </c>
      <c r="G23" s="79" t="s">
        <v>101</v>
      </c>
      <c r="H23" s="80" t="s">
        <v>102</v>
      </c>
      <c r="I23" s="79" t="s">
        <v>103</v>
      </c>
      <c r="J23" s="81" t="s">
        <v>104</v>
      </c>
      <c r="K23" s="81" t="s">
        <v>105</v>
      </c>
      <c r="L23" s="79" t="s">
        <v>106</v>
      </c>
      <c r="M23" s="82">
        <v>46101.0</v>
      </c>
      <c r="N23" s="79" t="s">
        <v>96</v>
      </c>
      <c r="O23" s="83">
        <v>5603200.0</v>
      </c>
      <c r="P23" s="76" t="s">
        <v>97</v>
      </c>
      <c r="Q23" s="70"/>
      <c r="R23" s="70"/>
      <c r="S23" s="70"/>
      <c r="T23" s="84"/>
      <c r="U23" s="85"/>
      <c r="V23" s="85"/>
      <c r="W23" s="85"/>
      <c r="X23" s="85"/>
      <c r="Y23" s="85"/>
      <c r="Z23" s="85"/>
      <c r="AA23" s="85"/>
    </row>
    <row r="24">
      <c r="A24" s="79" t="s">
        <v>41</v>
      </c>
      <c r="B24" s="79" t="s">
        <v>107</v>
      </c>
      <c r="C24" s="79" t="s">
        <v>108</v>
      </c>
      <c r="D24" s="79" t="s">
        <v>109</v>
      </c>
      <c r="E24" s="79" t="s">
        <v>110</v>
      </c>
      <c r="F24" s="79" t="s">
        <v>50</v>
      </c>
      <c r="G24" s="79" t="s">
        <v>51</v>
      </c>
      <c r="H24" s="80">
        <v>1.39029477E8</v>
      </c>
      <c r="I24" s="79" t="s">
        <v>111</v>
      </c>
      <c r="J24" s="81" t="s">
        <v>112</v>
      </c>
      <c r="K24" s="81" t="s">
        <v>113</v>
      </c>
      <c r="L24" s="79" t="s">
        <v>114</v>
      </c>
      <c r="M24" s="82">
        <v>46101.0</v>
      </c>
      <c r="N24" s="79" t="s">
        <v>96</v>
      </c>
      <c r="O24" s="83">
        <v>250000.0</v>
      </c>
      <c r="P24" s="76" t="s">
        <v>97</v>
      </c>
      <c r="Q24" s="70"/>
      <c r="R24" s="70"/>
      <c r="S24" s="70"/>
      <c r="T24" s="84"/>
      <c r="U24" s="85"/>
      <c r="V24" s="85"/>
      <c r="W24" s="85"/>
      <c r="X24" s="85"/>
      <c r="Y24" s="85"/>
      <c r="Z24" s="85"/>
      <c r="AA24" s="85"/>
    </row>
    <row r="25">
      <c r="A25" s="70"/>
      <c r="B25" s="70"/>
      <c r="C25" s="70"/>
      <c r="D25" s="70"/>
      <c r="E25" s="70"/>
      <c r="F25" s="70"/>
      <c r="G25" s="70"/>
      <c r="H25" s="86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84"/>
      <c r="U25" s="85"/>
      <c r="V25" s="85"/>
      <c r="W25" s="85"/>
      <c r="X25" s="85"/>
      <c r="Y25" s="85"/>
      <c r="Z25" s="85"/>
      <c r="AA25" s="85"/>
    </row>
    <row r="26">
      <c r="A26" s="70"/>
      <c r="B26" s="70"/>
      <c r="C26" s="70"/>
      <c r="D26" s="70"/>
      <c r="E26" s="70"/>
      <c r="F26" s="70"/>
      <c r="G26" s="70"/>
      <c r="H26" s="86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84"/>
      <c r="U26" s="85"/>
      <c r="V26" s="85"/>
      <c r="W26" s="85"/>
      <c r="X26" s="85"/>
      <c r="Y26" s="85"/>
      <c r="Z26" s="85"/>
      <c r="AA26" s="85"/>
    </row>
    <row r="27">
      <c r="A27" s="70"/>
      <c r="B27" s="70"/>
      <c r="C27" s="70"/>
      <c r="D27" s="70"/>
      <c r="E27" s="70"/>
      <c r="F27" s="70"/>
      <c r="G27" s="70"/>
      <c r="H27" s="86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84"/>
      <c r="U27" s="85"/>
      <c r="V27" s="85"/>
      <c r="W27" s="85"/>
      <c r="X27" s="85"/>
      <c r="Y27" s="85"/>
      <c r="Z27" s="85"/>
      <c r="AA27" s="85"/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9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T20:T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P22:P24">
      <formula1>"Paid,Waiting payment ,Cancel"</formula1>
    </dataValidation>
    <dataValidation type="list" allowBlank="1" showErrorMessage="1" sqref="T22:T27">
      <formula1>"100 % (Lunas),50 %,Not Paid"</formula1>
    </dataValidation>
  </dataValidations>
  <hyperlinks>
    <hyperlink r:id="rId1" ref="J22"/>
    <hyperlink r:id="rId2" ref="K22"/>
    <hyperlink r:id="rId3" ref="J23"/>
    <hyperlink r:id="rId4" ref="K23"/>
    <hyperlink r:id="rId5" ref="J24"/>
    <hyperlink r:id="rId6" ref="K24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16.13"/>
    <col customWidth="1" min="9" max="9" width="15.2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50">
        <v>4.22E7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42200000</v>
      </c>
    </row>
    <row r="10">
      <c r="A10" s="18" t="s">
        <v>14</v>
      </c>
      <c r="B10" s="2"/>
      <c r="C10" s="2"/>
      <c r="D10" s="2"/>
      <c r="E10" s="17"/>
      <c r="F10" s="19">
        <f>ROUND(F9*11/12,0)</f>
        <v>38683333</v>
      </c>
    </row>
    <row r="11">
      <c r="A11" s="18" t="s">
        <v>15</v>
      </c>
      <c r="B11" s="2"/>
      <c r="C11" s="2"/>
      <c r="D11" s="2"/>
      <c r="E11" s="17"/>
      <c r="F11" s="19">
        <f>ROUND(F10*12%,0)</f>
        <v>4642000</v>
      </c>
    </row>
    <row r="12">
      <c r="A12" s="18" t="s">
        <v>16</v>
      </c>
      <c r="B12" s="2"/>
      <c r="C12" s="2"/>
      <c r="D12" s="2"/>
      <c r="E12" s="17"/>
      <c r="F12" s="19">
        <f>F9+F11</f>
        <v>46842000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1"/>
      <c r="R15" s="21"/>
      <c r="S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1"/>
      <c r="R16" s="21"/>
      <c r="S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1"/>
      <c r="R17" s="21"/>
      <c r="S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1"/>
      <c r="R18" s="21"/>
      <c r="S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28"/>
      <c r="R19" s="28"/>
      <c r="S19" s="21"/>
    </row>
    <row r="20">
      <c r="A20" s="31" t="s">
        <v>20</v>
      </c>
      <c r="B20" s="31" t="s">
        <v>21</v>
      </c>
      <c r="C20" s="32" t="s">
        <v>22</v>
      </c>
      <c r="D20" s="31" t="s">
        <v>23</v>
      </c>
      <c r="E20" s="31" t="s">
        <v>24</v>
      </c>
      <c r="F20" s="31" t="s">
        <v>25</v>
      </c>
      <c r="G20" s="31" t="s">
        <v>26</v>
      </c>
      <c r="H20" s="33" t="s">
        <v>27</v>
      </c>
      <c r="I20" s="31" t="s">
        <v>28</v>
      </c>
      <c r="J20" s="32" t="s">
        <v>29</v>
      </c>
      <c r="K20" s="32" t="s">
        <v>30</v>
      </c>
      <c r="L20" s="31" t="s">
        <v>31</v>
      </c>
      <c r="M20" s="31" t="s">
        <v>32</v>
      </c>
      <c r="N20" s="34" t="s">
        <v>33</v>
      </c>
      <c r="O20" s="31" t="s">
        <v>34</v>
      </c>
      <c r="P20" s="35" t="s">
        <v>35</v>
      </c>
      <c r="Q20" s="36" t="s">
        <v>36</v>
      </c>
      <c r="R20" s="37" t="s">
        <v>37</v>
      </c>
      <c r="S20" s="38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>
      <c r="A22" s="44" t="s">
        <v>115</v>
      </c>
      <c r="B22" s="44" t="s">
        <v>116</v>
      </c>
      <c r="C22" s="44" t="s">
        <v>117</v>
      </c>
      <c r="D22" s="44" t="s">
        <v>118</v>
      </c>
      <c r="E22" s="44" t="s">
        <v>119</v>
      </c>
      <c r="F22" s="44">
        <v>7.20533496706E14</v>
      </c>
      <c r="G22" s="87" t="s">
        <v>51</v>
      </c>
      <c r="H22" s="88" t="s">
        <v>120</v>
      </c>
      <c r="I22" s="44" t="s">
        <v>116</v>
      </c>
      <c r="J22" s="45" t="s">
        <v>121</v>
      </c>
      <c r="K22" s="45" t="s">
        <v>122</v>
      </c>
      <c r="L22" s="44" t="s">
        <v>123</v>
      </c>
      <c r="M22" s="44" t="s">
        <v>124</v>
      </c>
      <c r="N22" s="44" t="s">
        <v>125</v>
      </c>
      <c r="O22" s="44">
        <v>1.88E7</v>
      </c>
      <c r="P22" s="40"/>
      <c r="Q22" s="40"/>
      <c r="R22" s="40"/>
      <c r="S22" s="42"/>
    </row>
    <row r="23">
      <c r="A23" s="40"/>
      <c r="B23" s="44" t="s">
        <v>126</v>
      </c>
      <c r="C23" s="40"/>
      <c r="D23" s="40"/>
      <c r="E23" s="40"/>
      <c r="F23" s="40"/>
      <c r="G23" s="40"/>
      <c r="H23" s="41"/>
      <c r="I23" s="40"/>
      <c r="J23" s="40"/>
      <c r="K23" s="40"/>
      <c r="L23" s="40"/>
      <c r="M23" s="40"/>
      <c r="N23" s="40"/>
      <c r="O23" s="44">
        <v>1000000.0</v>
      </c>
      <c r="P23" s="40"/>
      <c r="Q23" s="40"/>
      <c r="R23" s="40"/>
      <c r="S23" s="42"/>
    </row>
    <row r="24">
      <c r="A24" s="40"/>
      <c r="B24" s="40"/>
      <c r="C24" s="40"/>
      <c r="D24" s="40"/>
      <c r="E24" s="40"/>
      <c r="F24" s="40"/>
      <c r="G24" s="40"/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/>
    </row>
    <row r="25">
      <c r="A25" s="40"/>
      <c r="B25" s="40"/>
      <c r="C25" s="40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/>
    </row>
    <row r="26">
      <c r="A26" s="40"/>
      <c r="B26" s="40"/>
      <c r="C26" s="40"/>
      <c r="D26" s="4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/>
    </row>
    <row r="27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/>
    </row>
    <row r="28">
      <c r="O28" s="89">
        <f>SUM(O22:O27)</f>
        <v>19800000</v>
      </c>
    </row>
    <row r="30">
      <c r="A30" s="36" t="s">
        <v>39</v>
      </c>
      <c r="B30" s="36" t="s">
        <v>40</v>
      </c>
    </row>
    <row r="31">
      <c r="A31" s="39"/>
      <c r="B31" s="39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43"/>
      <c r="B36" s="42"/>
    </row>
    <row r="37">
      <c r="A37" s="21"/>
      <c r="B37" s="21"/>
    </row>
  </sheetData>
  <mergeCells count="28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S22:S27">
      <formula1>"100 % (Lunas),50 %,Not Paid"</formula1>
    </dataValidation>
  </dataValidations>
  <hyperlinks>
    <hyperlink r:id="rId1" ref="J22"/>
    <hyperlink r:id="rId2" ref="K22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16.5"/>
    <col customWidth="1" min="5" max="5" width="21.25"/>
    <col customWidth="1" min="6" max="6" width="17.25"/>
    <col customWidth="1" min="11" max="11" width="16.63"/>
    <col customWidth="1" min="12" max="12" width="36.13"/>
    <col customWidth="1" min="14" max="14" width="21.75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90">
        <v>46080.0</v>
      </c>
      <c r="B3" s="7"/>
      <c r="C3" s="8" t="s">
        <v>8</v>
      </c>
      <c r="D3" s="8">
        <v>1.0</v>
      </c>
      <c r="E3" s="9" t="s">
        <v>9</v>
      </c>
      <c r="F3" s="50">
        <v>1.788E8</v>
      </c>
      <c r="G3" s="11"/>
      <c r="H3" s="12" t="s">
        <v>11</v>
      </c>
    </row>
    <row r="4">
      <c r="A4" s="13"/>
      <c r="B4" s="7"/>
      <c r="C4" s="14"/>
      <c r="D4" s="14"/>
      <c r="E4" s="14"/>
      <c r="F4" s="15"/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6" t="s">
        <v>12</v>
      </c>
      <c r="B7" s="2"/>
      <c r="C7" s="2"/>
      <c r="D7" s="2"/>
      <c r="E7" s="2"/>
      <c r="F7" s="17"/>
    </row>
    <row r="8">
      <c r="A8" s="18" t="s">
        <v>13</v>
      </c>
      <c r="B8" s="2"/>
      <c r="C8" s="2"/>
      <c r="D8" s="2"/>
      <c r="E8" s="17"/>
      <c r="F8" s="19">
        <f>SUM(F3:F7)</f>
        <v>178800000</v>
      </c>
    </row>
    <row r="9">
      <c r="A9" s="18" t="s">
        <v>14</v>
      </c>
      <c r="B9" s="2"/>
      <c r="C9" s="2"/>
      <c r="D9" s="2"/>
      <c r="E9" s="17"/>
      <c r="F9" s="19">
        <f>ROUND(F8*11/12,0)</f>
        <v>163900000</v>
      </c>
    </row>
    <row r="10">
      <c r="A10" s="91" t="s">
        <v>127</v>
      </c>
      <c r="B10" s="2"/>
      <c r="C10" s="2"/>
      <c r="D10" s="2"/>
      <c r="E10" s="17"/>
      <c r="F10" s="19">
        <f>(F8/0.995)-F8</f>
        <v>898492.4623</v>
      </c>
    </row>
    <row r="11">
      <c r="A11" s="18" t="s">
        <v>16</v>
      </c>
      <c r="B11" s="2"/>
      <c r="C11" s="2"/>
      <c r="D11" s="2"/>
      <c r="E11" s="17"/>
      <c r="F11" s="19">
        <f>F8+F10</f>
        <v>179698492.5</v>
      </c>
    </row>
    <row r="14">
      <c r="A14" s="20" t="s">
        <v>17</v>
      </c>
      <c r="C14" s="21"/>
      <c r="D14" s="21"/>
      <c r="E14" s="21"/>
      <c r="F14" s="21"/>
      <c r="G14" s="21"/>
      <c r="H14" s="22"/>
      <c r="I14" s="21"/>
      <c r="J14" s="21"/>
      <c r="K14" s="21"/>
      <c r="L14" s="21"/>
      <c r="M14" s="21"/>
      <c r="N14" s="21"/>
      <c r="O14" s="21"/>
      <c r="P14" s="23"/>
      <c r="Q14" s="23"/>
      <c r="R14" s="21"/>
      <c r="S14" s="21"/>
      <c r="T14" s="21"/>
    </row>
    <row r="15">
      <c r="A15" s="24"/>
      <c r="B15" s="21"/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3"/>
      <c r="R15" s="21"/>
      <c r="S15" s="21"/>
      <c r="T15" s="21"/>
    </row>
    <row r="16">
      <c r="A16" s="25"/>
      <c r="B16" s="26" t="s">
        <v>18</v>
      </c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3"/>
      <c r="R16" s="21"/>
      <c r="S16" s="21"/>
      <c r="T16" s="21"/>
    </row>
    <row r="17">
      <c r="A17" s="27"/>
      <c r="B17" s="26" t="s">
        <v>19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3"/>
      <c r="R17" s="21"/>
      <c r="S17" s="21"/>
      <c r="T17" s="21"/>
    </row>
    <row r="18">
      <c r="A18" s="21"/>
      <c r="B18" s="21"/>
      <c r="C18" s="21"/>
      <c r="D18" s="21"/>
      <c r="E18" s="28"/>
      <c r="F18" s="28"/>
      <c r="G18" s="28"/>
      <c r="H18" s="29"/>
      <c r="I18" s="28"/>
      <c r="J18" s="28"/>
      <c r="K18" s="28"/>
      <c r="L18" s="28"/>
      <c r="M18" s="28"/>
      <c r="N18" s="28"/>
      <c r="O18" s="28"/>
      <c r="P18" s="30"/>
      <c r="Q18" s="30"/>
      <c r="R18" s="28"/>
      <c r="S18" s="28"/>
      <c r="T18" s="21"/>
    </row>
    <row r="19">
      <c r="A19" s="31" t="s">
        <v>20</v>
      </c>
      <c r="B19" s="31" t="s">
        <v>21</v>
      </c>
      <c r="C19" s="32" t="s">
        <v>22</v>
      </c>
      <c r="D19" s="31" t="s">
        <v>23</v>
      </c>
      <c r="E19" s="31" t="s">
        <v>24</v>
      </c>
      <c r="F19" s="92" t="s">
        <v>25</v>
      </c>
      <c r="G19" s="31" t="s">
        <v>26</v>
      </c>
      <c r="H19" s="33" t="s">
        <v>27</v>
      </c>
      <c r="I19" s="31" t="s">
        <v>28</v>
      </c>
      <c r="J19" s="32" t="s">
        <v>29</v>
      </c>
      <c r="K19" s="32" t="s">
        <v>30</v>
      </c>
      <c r="L19" s="31" t="s">
        <v>31</v>
      </c>
      <c r="M19" s="31" t="s">
        <v>32</v>
      </c>
      <c r="N19" s="34" t="s">
        <v>33</v>
      </c>
      <c r="O19" s="31" t="s">
        <v>34</v>
      </c>
      <c r="P19" s="68" t="s">
        <v>88</v>
      </c>
      <c r="Q19" s="35" t="s">
        <v>35</v>
      </c>
      <c r="R19" s="36" t="s">
        <v>36</v>
      </c>
      <c r="S19" s="37" t="s">
        <v>37</v>
      </c>
      <c r="T19" s="38" t="s">
        <v>38</v>
      </c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69"/>
      <c r="Q20" s="39"/>
      <c r="R20" s="39"/>
      <c r="S20" s="39"/>
    </row>
    <row r="21">
      <c r="A21" s="44"/>
      <c r="B21" s="93" t="s">
        <v>128</v>
      </c>
      <c r="C21" s="44" t="s">
        <v>129</v>
      </c>
      <c r="D21" s="44"/>
      <c r="E21" s="44"/>
      <c r="F21" s="44"/>
      <c r="G21" s="44"/>
      <c r="H21" s="65"/>
      <c r="I21" s="44"/>
      <c r="J21" s="44"/>
      <c r="K21" s="45" t="s">
        <v>130</v>
      </c>
      <c r="L21" s="44"/>
      <c r="M21" s="44"/>
      <c r="N21" s="44" t="s">
        <v>131</v>
      </c>
      <c r="O21" s="94">
        <v>6.0E7</v>
      </c>
      <c r="P21" s="40"/>
      <c r="Q21" s="40"/>
      <c r="R21" s="40"/>
      <c r="S21" s="40"/>
      <c r="T21" s="21"/>
    </row>
    <row r="22">
      <c r="A22" s="44" t="s">
        <v>132</v>
      </c>
      <c r="B22" s="95" t="s">
        <v>133</v>
      </c>
      <c r="C22" s="44" t="s">
        <v>129</v>
      </c>
      <c r="D22" s="44" t="s">
        <v>134</v>
      </c>
      <c r="E22" s="44" t="s">
        <v>135</v>
      </c>
      <c r="F22" s="44"/>
      <c r="G22" s="44" t="s">
        <v>51</v>
      </c>
      <c r="H22" s="65">
        <v>8.62007353E9</v>
      </c>
      <c r="I22" s="44" t="s">
        <v>136</v>
      </c>
      <c r="J22" s="45" t="s">
        <v>137</v>
      </c>
      <c r="K22" s="45" t="s">
        <v>138</v>
      </c>
      <c r="L22" s="44" t="s">
        <v>139</v>
      </c>
      <c r="M22" s="44" t="s">
        <v>140</v>
      </c>
      <c r="N22" s="44" t="s">
        <v>125</v>
      </c>
      <c r="O22" s="96">
        <v>400000.0</v>
      </c>
      <c r="P22" s="76" t="s">
        <v>97</v>
      </c>
      <c r="Q22" s="40"/>
      <c r="R22" s="40"/>
      <c r="S22" s="40"/>
      <c r="T22" s="42"/>
    </row>
    <row r="23">
      <c r="A23" s="44" t="s">
        <v>132</v>
      </c>
      <c r="B23" s="95" t="s">
        <v>141</v>
      </c>
      <c r="C23" s="44" t="s">
        <v>129</v>
      </c>
      <c r="D23" s="44" t="s">
        <v>142</v>
      </c>
      <c r="E23" s="44">
        <v>1.20723120500006E14</v>
      </c>
      <c r="F23" s="44"/>
      <c r="G23" s="44" t="s">
        <v>51</v>
      </c>
      <c r="H23" s="65">
        <v>8.205510008E9</v>
      </c>
      <c r="I23" s="44" t="s">
        <v>143</v>
      </c>
      <c r="J23" s="45" t="s">
        <v>144</v>
      </c>
      <c r="K23" s="45" t="s">
        <v>145</v>
      </c>
      <c r="L23" s="44" t="s">
        <v>139</v>
      </c>
      <c r="M23" s="44" t="s">
        <v>146</v>
      </c>
      <c r="N23" s="44" t="s">
        <v>125</v>
      </c>
      <c r="O23" s="96">
        <v>5500000.0</v>
      </c>
      <c r="P23" s="76" t="s">
        <v>97</v>
      </c>
      <c r="Q23" s="40"/>
      <c r="R23" s="40"/>
      <c r="S23" s="40"/>
      <c r="T23" s="42"/>
    </row>
    <row r="24">
      <c r="A24" s="44" t="s">
        <v>147</v>
      </c>
      <c r="B24" s="95" t="s">
        <v>148</v>
      </c>
      <c r="C24" s="44" t="s">
        <v>129</v>
      </c>
      <c r="D24" s="44" t="s">
        <v>149</v>
      </c>
      <c r="E24" s="44" t="s">
        <v>150</v>
      </c>
      <c r="F24" s="44"/>
      <c r="G24" s="44" t="s">
        <v>51</v>
      </c>
      <c r="H24" s="65">
        <v>8.030924585E9</v>
      </c>
      <c r="I24" s="44" t="s">
        <v>151</v>
      </c>
      <c r="J24" s="45" t="s">
        <v>152</v>
      </c>
      <c r="K24" s="45" t="s">
        <v>153</v>
      </c>
      <c r="L24" s="44" t="s">
        <v>139</v>
      </c>
      <c r="M24" s="44" t="s">
        <v>154</v>
      </c>
      <c r="N24" s="44" t="s">
        <v>125</v>
      </c>
      <c r="O24" s="97">
        <v>2850000.0</v>
      </c>
      <c r="P24" s="76" t="s">
        <v>97</v>
      </c>
      <c r="Q24" s="40"/>
      <c r="R24" s="40"/>
      <c r="S24" s="40"/>
      <c r="T24" s="42"/>
    </row>
    <row r="25" hidden="1">
      <c r="A25" s="40"/>
      <c r="B25" s="95" t="s">
        <v>155</v>
      </c>
      <c r="C25" s="44" t="s">
        <v>129</v>
      </c>
      <c r="D25" s="40"/>
      <c r="E25" s="40"/>
      <c r="F25" s="40"/>
      <c r="G25" s="40"/>
      <c r="H25" s="41"/>
      <c r="I25" s="40"/>
      <c r="J25" s="40"/>
      <c r="K25" s="40"/>
      <c r="L25" s="44" t="s">
        <v>156</v>
      </c>
      <c r="M25" s="44"/>
      <c r="N25" s="44" t="s">
        <v>125</v>
      </c>
      <c r="O25" s="98"/>
      <c r="P25" s="40"/>
      <c r="Q25" s="40"/>
      <c r="R25" s="40"/>
      <c r="S25" s="40"/>
      <c r="T25" s="42"/>
    </row>
    <row r="26">
      <c r="A26" s="44" t="s">
        <v>41</v>
      </c>
      <c r="B26" s="95" t="s">
        <v>157</v>
      </c>
      <c r="C26" s="44" t="s">
        <v>129</v>
      </c>
      <c r="D26" s="44" t="s">
        <v>158</v>
      </c>
      <c r="E26" s="40"/>
      <c r="F26" s="44" t="s">
        <v>50</v>
      </c>
      <c r="G26" s="44" t="s">
        <v>51</v>
      </c>
      <c r="H26" s="65">
        <v>8.906279547E9</v>
      </c>
      <c r="I26" s="44" t="s">
        <v>159</v>
      </c>
      <c r="J26" s="45" t="s">
        <v>160</v>
      </c>
      <c r="K26" s="45" t="s">
        <v>161</v>
      </c>
      <c r="L26" s="44" t="s">
        <v>156</v>
      </c>
      <c r="M26" s="99">
        <v>46075.0</v>
      </c>
      <c r="N26" s="44" t="s">
        <v>125</v>
      </c>
      <c r="O26" s="97">
        <v>500000.0</v>
      </c>
      <c r="P26" s="76" t="s">
        <v>97</v>
      </c>
      <c r="Q26" s="40"/>
      <c r="R26" s="40"/>
      <c r="S26" s="40"/>
      <c r="T26" s="42"/>
    </row>
    <row r="27">
      <c r="A27" s="44" t="s">
        <v>41</v>
      </c>
      <c r="B27" s="95" t="s">
        <v>162</v>
      </c>
      <c r="C27" s="44" t="s">
        <v>129</v>
      </c>
      <c r="D27" s="40"/>
      <c r="E27" s="40"/>
      <c r="F27" s="40"/>
      <c r="G27" s="40"/>
      <c r="H27" s="41"/>
      <c r="I27" s="40"/>
      <c r="J27" s="40"/>
      <c r="K27" s="40"/>
      <c r="L27" s="44" t="s">
        <v>163</v>
      </c>
      <c r="M27" s="40"/>
      <c r="N27" s="44" t="s">
        <v>125</v>
      </c>
      <c r="O27" s="44">
        <v>8500000.0</v>
      </c>
      <c r="P27" s="76" t="s">
        <v>164</v>
      </c>
      <c r="Q27" s="40"/>
      <c r="R27" s="40"/>
      <c r="S27" s="40"/>
      <c r="T27" s="42"/>
    </row>
    <row r="28">
      <c r="A28" s="44" t="s">
        <v>41</v>
      </c>
      <c r="B28" s="100" t="s">
        <v>165</v>
      </c>
      <c r="C28" s="44" t="s">
        <v>129</v>
      </c>
      <c r="D28" s="44" t="s">
        <v>166</v>
      </c>
      <c r="E28" s="44" t="s">
        <v>167</v>
      </c>
      <c r="F28" s="44" t="s">
        <v>50</v>
      </c>
      <c r="G28" s="44" t="s">
        <v>76</v>
      </c>
      <c r="H28" s="65">
        <v>9.0121861529E11</v>
      </c>
      <c r="I28" s="44" t="s">
        <v>168</v>
      </c>
      <c r="J28" s="45" t="s">
        <v>169</v>
      </c>
      <c r="K28" s="45" t="s">
        <v>170</v>
      </c>
      <c r="L28" s="44" t="s">
        <v>156</v>
      </c>
      <c r="M28" s="44" t="s">
        <v>171</v>
      </c>
      <c r="N28" s="44" t="s">
        <v>125</v>
      </c>
      <c r="O28" s="97">
        <v>500000.0</v>
      </c>
      <c r="P28" s="76" t="s">
        <v>97</v>
      </c>
      <c r="Q28" s="40"/>
      <c r="R28" s="40"/>
      <c r="S28" s="40"/>
      <c r="T28" s="42"/>
    </row>
    <row r="29">
      <c r="A29" s="44" t="s">
        <v>41</v>
      </c>
      <c r="B29" s="100" t="s">
        <v>172</v>
      </c>
      <c r="C29" s="44" t="s">
        <v>129</v>
      </c>
      <c r="D29" s="44" t="s">
        <v>166</v>
      </c>
      <c r="E29" s="44" t="s">
        <v>167</v>
      </c>
      <c r="F29" s="44" t="s">
        <v>50</v>
      </c>
      <c r="G29" s="44" t="s">
        <v>76</v>
      </c>
      <c r="H29" s="65">
        <v>9.0121861529E11</v>
      </c>
      <c r="I29" s="44" t="s">
        <v>168</v>
      </c>
      <c r="J29" s="44"/>
      <c r="K29" s="44"/>
      <c r="L29" s="44"/>
      <c r="M29" s="44"/>
      <c r="N29" s="44"/>
      <c r="O29" s="87">
        <v>1250000.0</v>
      </c>
      <c r="P29" s="76" t="s">
        <v>164</v>
      </c>
      <c r="Q29" s="40"/>
      <c r="R29" s="40"/>
      <c r="S29" s="40"/>
      <c r="T29" s="42"/>
    </row>
    <row r="30">
      <c r="A30" s="44" t="s">
        <v>41</v>
      </c>
      <c r="B30" s="100" t="s">
        <v>173</v>
      </c>
      <c r="C30" s="44" t="s">
        <v>129</v>
      </c>
      <c r="D30" s="44" t="s">
        <v>174</v>
      </c>
      <c r="E30" s="44" t="s">
        <v>175</v>
      </c>
      <c r="F30" s="44" t="s">
        <v>50</v>
      </c>
      <c r="G30" s="44" t="s">
        <v>51</v>
      </c>
      <c r="H30" s="65">
        <v>8.410644453E9</v>
      </c>
      <c r="I30" s="44" t="s">
        <v>176</v>
      </c>
      <c r="J30" s="45" t="s">
        <v>177</v>
      </c>
      <c r="K30" s="45" t="s">
        <v>178</v>
      </c>
      <c r="L30" s="44" t="s">
        <v>179</v>
      </c>
      <c r="M30" s="44" t="s">
        <v>180</v>
      </c>
      <c r="N30" s="44" t="s">
        <v>125</v>
      </c>
      <c r="O30" s="97">
        <v>1000000.0</v>
      </c>
      <c r="P30" s="76" t="s">
        <v>97</v>
      </c>
      <c r="Q30" s="40"/>
      <c r="R30" s="40"/>
      <c r="S30" s="40"/>
      <c r="T30" s="42"/>
    </row>
    <row r="31">
      <c r="A31" s="44" t="s">
        <v>41</v>
      </c>
      <c r="B31" s="100" t="s">
        <v>181</v>
      </c>
      <c r="C31" s="44" t="s">
        <v>129</v>
      </c>
      <c r="D31" s="44"/>
      <c r="E31" s="44"/>
      <c r="F31" s="44"/>
      <c r="G31" s="44"/>
      <c r="H31" s="65"/>
      <c r="I31" s="44"/>
      <c r="J31" s="44"/>
      <c r="K31" s="45" t="s">
        <v>182</v>
      </c>
      <c r="L31" s="44"/>
      <c r="M31" s="44"/>
      <c r="N31" s="44" t="s">
        <v>125</v>
      </c>
      <c r="O31" s="87">
        <v>1110000.0</v>
      </c>
      <c r="P31" s="76" t="s">
        <v>164</v>
      </c>
      <c r="Q31" s="40"/>
      <c r="R31" s="40"/>
      <c r="S31" s="40"/>
      <c r="T31" s="42"/>
    </row>
    <row r="32">
      <c r="A32" s="44" t="s">
        <v>183</v>
      </c>
      <c r="B32" s="100" t="s">
        <v>184</v>
      </c>
      <c r="C32" s="44" t="s">
        <v>129</v>
      </c>
      <c r="D32" s="44"/>
      <c r="E32" s="44"/>
      <c r="F32" s="44"/>
      <c r="G32" s="44"/>
      <c r="H32" s="65"/>
      <c r="I32" s="44"/>
      <c r="J32" s="44"/>
      <c r="K32" s="45" t="s">
        <v>185</v>
      </c>
      <c r="L32" s="44"/>
      <c r="M32" s="44"/>
      <c r="N32" s="44" t="s">
        <v>125</v>
      </c>
      <c r="O32" s="87">
        <v>550000.0</v>
      </c>
      <c r="P32" s="76" t="s">
        <v>164</v>
      </c>
      <c r="Q32" s="40"/>
      <c r="R32" s="40"/>
      <c r="S32" s="40"/>
      <c r="T32" s="42"/>
    </row>
    <row r="33">
      <c r="A33" s="44" t="s">
        <v>41</v>
      </c>
      <c r="B33" s="100" t="s">
        <v>186</v>
      </c>
      <c r="C33" s="44" t="s">
        <v>129</v>
      </c>
      <c r="D33" s="44"/>
      <c r="E33" s="44"/>
      <c r="F33" s="44"/>
      <c r="G33" s="44"/>
      <c r="H33" s="65"/>
      <c r="I33" s="44"/>
      <c r="J33" s="44"/>
      <c r="K33" s="45" t="s">
        <v>187</v>
      </c>
      <c r="L33" s="44"/>
      <c r="M33" s="44"/>
      <c r="N33" s="44" t="s">
        <v>125</v>
      </c>
      <c r="O33" s="87">
        <v>2400000.0</v>
      </c>
      <c r="P33" s="76" t="s">
        <v>164</v>
      </c>
      <c r="Q33" s="40"/>
      <c r="R33" s="40"/>
      <c r="S33" s="40"/>
      <c r="T33" s="42"/>
    </row>
    <row r="34">
      <c r="A34" s="44" t="s">
        <v>41</v>
      </c>
      <c r="B34" s="100" t="s">
        <v>188</v>
      </c>
      <c r="C34" s="44" t="s">
        <v>129</v>
      </c>
      <c r="D34" s="44"/>
      <c r="E34" s="44"/>
      <c r="F34" s="44"/>
      <c r="G34" s="44"/>
      <c r="H34" s="65"/>
      <c r="I34" s="44"/>
      <c r="J34" s="44"/>
      <c r="K34" s="44"/>
      <c r="L34" s="44"/>
      <c r="M34" s="44"/>
      <c r="N34" s="44" t="s">
        <v>125</v>
      </c>
      <c r="O34" s="87"/>
      <c r="P34" s="76"/>
      <c r="Q34" s="40"/>
      <c r="R34" s="40"/>
      <c r="S34" s="40"/>
      <c r="T34" s="42"/>
    </row>
    <row r="35">
      <c r="O35" s="89">
        <f>SUM(O21:O30)</f>
        <v>80500000</v>
      </c>
    </row>
    <row r="36">
      <c r="A36" s="36" t="s">
        <v>39</v>
      </c>
      <c r="B36" s="36" t="s">
        <v>40</v>
      </c>
    </row>
    <row r="37">
      <c r="A37" s="39"/>
      <c r="B37" s="39"/>
      <c r="N37" s="101"/>
    </row>
    <row r="38">
      <c r="A38" s="43"/>
      <c r="B38" s="42"/>
      <c r="O38" s="102"/>
    </row>
    <row r="39">
      <c r="A39" s="43"/>
      <c r="B39" s="42"/>
      <c r="O39" s="102" t="s">
        <v>189</v>
      </c>
    </row>
    <row r="40">
      <c r="A40" s="43"/>
      <c r="B40" s="42"/>
      <c r="O40" s="103">
        <f>sum(O27,O29:O33)</f>
        <v>14810000</v>
      </c>
    </row>
    <row r="41">
      <c r="A41" s="43"/>
      <c r="B41" s="42"/>
      <c r="O41" s="103">
        <f>O40+25000000</f>
        <v>39810000</v>
      </c>
    </row>
    <row r="42">
      <c r="A42" s="43"/>
      <c r="B42" s="42"/>
    </row>
    <row r="43">
      <c r="A43" s="21"/>
      <c r="B43" s="21"/>
    </row>
  </sheetData>
  <mergeCells count="29">
    <mergeCell ref="A1:E1"/>
    <mergeCell ref="A7:F7"/>
    <mergeCell ref="A8:E8"/>
    <mergeCell ref="A9:E9"/>
    <mergeCell ref="A10:E10"/>
    <mergeCell ref="A11:E11"/>
    <mergeCell ref="A14:B14"/>
    <mergeCell ref="O19:O20"/>
    <mergeCell ref="P19:P20"/>
    <mergeCell ref="Q19:Q20"/>
    <mergeCell ref="R19:R20"/>
    <mergeCell ref="S19:S20"/>
    <mergeCell ref="T19:T20"/>
    <mergeCell ref="H19:H20"/>
    <mergeCell ref="I19:I20"/>
    <mergeCell ref="J19:J20"/>
    <mergeCell ref="K19:K20"/>
    <mergeCell ref="L19:L20"/>
    <mergeCell ref="M19:M20"/>
    <mergeCell ref="N19:N20"/>
    <mergeCell ref="A36:A37"/>
    <mergeCell ref="B36:B37"/>
    <mergeCell ref="A19:A20"/>
    <mergeCell ref="B19:B20"/>
    <mergeCell ref="C19:C20"/>
    <mergeCell ref="D19:D20"/>
    <mergeCell ref="E19:E20"/>
    <mergeCell ref="F19:F20"/>
    <mergeCell ref="G19:G20"/>
  </mergeCells>
  <dataValidations>
    <dataValidation type="list" allowBlank="1" showErrorMessage="1" sqref="P22:P24 P26:P34">
      <formula1>"Paid,Waiting payment ,Cancel"</formula1>
    </dataValidation>
    <dataValidation type="list" allowBlank="1" showErrorMessage="1" sqref="T21:T34">
      <formula1>"100 % (Lunas),50 %,Not Paid"</formula1>
    </dataValidation>
  </dataValidations>
  <hyperlinks>
    <hyperlink r:id="rId4" ref="K21"/>
    <hyperlink r:id="rId5" ref="J22"/>
    <hyperlink r:id="rId6" ref="K22"/>
    <hyperlink r:id="rId7" ref="J23"/>
    <hyperlink r:id="rId8" ref="K23"/>
    <hyperlink r:id="rId9" ref="J24"/>
    <hyperlink r:id="rId10" ref="K24"/>
    <hyperlink r:id="rId11" ref="J26"/>
    <hyperlink r:id="rId12" ref="K26"/>
    <hyperlink r:id="rId13" ref="J28"/>
    <hyperlink r:id="rId14" ref="K28"/>
    <hyperlink r:id="rId15" ref="J30"/>
    <hyperlink r:id="rId16" ref="K30"/>
    <hyperlink r:id="rId17" ref="K31"/>
    <hyperlink r:id="rId18" ref="K32"/>
    <hyperlink r:id="rId19" ref="K33"/>
  </hyperlinks>
  <drawing r:id="rId20"/>
  <legacy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6.5"/>
    <col customWidth="1" min="5" max="5" width="17.38"/>
    <col customWidth="1" min="9" max="9" width="17.63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90">
        <v>46338.0</v>
      </c>
      <c r="B4" s="7"/>
      <c r="C4" s="8" t="s">
        <v>8</v>
      </c>
      <c r="D4" s="8">
        <v>1.0</v>
      </c>
      <c r="E4" s="9" t="s">
        <v>9</v>
      </c>
      <c r="F4" s="50">
        <v>5.03E7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50300000</v>
      </c>
    </row>
    <row r="10">
      <c r="A10" s="18" t="s">
        <v>14</v>
      </c>
      <c r="B10" s="2"/>
      <c r="C10" s="2"/>
      <c r="D10" s="2"/>
      <c r="E10" s="17"/>
      <c r="F10" s="19">
        <f>ROUND(F9*11/12,0)</f>
        <v>46108333</v>
      </c>
    </row>
    <row r="11">
      <c r="A11" s="91" t="s">
        <v>127</v>
      </c>
      <c r="B11" s="2"/>
      <c r="C11" s="2"/>
      <c r="D11" s="2"/>
      <c r="E11" s="17"/>
      <c r="F11" s="19">
        <f>(F9/0.995)-F9</f>
        <v>252763.8191</v>
      </c>
    </row>
    <row r="12">
      <c r="A12" s="18" t="s">
        <v>16</v>
      </c>
      <c r="B12" s="2"/>
      <c r="C12" s="2"/>
      <c r="D12" s="2"/>
      <c r="E12" s="17"/>
      <c r="F12" s="19">
        <f>F9+F11</f>
        <v>50552763.82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3"/>
      <c r="R15" s="21"/>
      <c r="S15" s="21"/>
      <c r="T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3"/>
      <c r="R16" s="21"/>
      <c r="S16" s="21"/>
      <c r="T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3"/>
      <c r="R17" s="21"/>
      <c r="S17" s="21"/>
      <c r="T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3"/>
      <c r="R18" s="21"/>
      <c r="S18" s="21"/>
      <c r="T18" s="21"/>
    </row>
    <row r="19">
      <c r="A19" s="21"/>
      <c r="B19" s="21"/>
      <c r="C19" s="21"/>
      <c r="D19" s="21"/>
      <c r="E19" s="21"/>
      <c r="F19" s="21"/>
      <c r="G19" s="21"/>
      <c r="H19" s="22"/>
      <c r="I19" s="21"/>
      <c r="J19" s="21"/>
      <c r="K19" s="21"/>
      <c r="L19" s="21"/>
      <c r="M19" s="21"/>
      <c r="N19" s="21"/>
      <c r="O19" s="21"/>
      <c r="P19" s="23"/>
      <c r="Q19" s="23"/>
      <c r="R19" s="21"/>
      <c r="S19" s="21"/>
      <c r="T19" s="21"/>
    </row>
    <row r="20">
      <c r="A20" s="104" t="s">
        <v>20</v>
      </c>
      <c r="B20" s="104" t="s">
        <v>21</v>
      </c>
      <c r="C20" s="105" t="s">
        <v>22</v>
      </c>
      <c r="D20" s="104" t="s">
        <v>23</v>
      </c>
      <c r="E20" s="104" t="s">
        <v>24</v>
      </c>
      <c r="F20" s="104" t="s">
        <v>25</v>
      </c>
      <c r="G20" s="104" t="s">
        <v>26</v>
      </c>
      <c r="H20" s="106" t="s">
        <v>27</v>
      </c>
      <c r="I20" s="104" t="s">
        <v>28</v>
      </c>
      <c r="J20" s="105" t="s">
        <v>29</v>
      </c>
      <c r="K20" s="105" t="s">
        <v>30</v>
      </c>
      <c r="L20" s="104" t="s">
        <v>31</v>
      </c>
      <c r="M20" s="104" t="s">
        <v>32</v>
      </c>
      <c r="N20" s="107" t="s">
        <v>33</v>
      </c>
      <c r="O20" s="104" t="s">
        <v>34</v>
      </c>
      <c r="P20" s="68" t="s">
        <v>88</v>
      </c>
      <c r="Q20" s="108" t="s">
        <v>35</v>
      </c>
      <c r="R20" s="107" t="s">
        <v>36</v>
      </c>
      <c r="S20" s="104" t="s">
        <v>37</v>
      </c>
      <c r="T20" s="104" t="s">
        <v>38</v>
      </c>
      <c r="U20" s="109"/>
      <c r="V20" s="109"/>
      <c r="W20" s="109"/>
      <c r="X20" s="109"/>
      <c r="Y20" s="109"/>
      <c r="Z20" s="109"/>
      <c r="AA20" s="10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109"/>
      <c r="V21" s="109"/>
      <c r="W21" s="109"/>
      <c r="X21" s="109"/>
      <c r="Y21" s="109"/>
      <c r="Z21" s="109"/>
      <c r="AA21" s="109"/>
    </row>
    <row r="22">
      <c r="A22" s="110" t="s">
        <v>132</v>
      </c>
      <c r="B22" s="110" t="s">
        <v>190</v>
      </c>
      <c r="C22" s="110" t="s">
        <v>191</v>
      </c>
      <c r="D22" s="110" t="s">
        <v>192</v>
      </c>
      <c r="E22" s="110" t="s">
        <v>193</v>
      </c>
      <c r="F22" s="110">
        <v>4.40344638429E14</v>
      </c>
      <c r="G22" s="110" t="s">
        <v>51</v>
      </c>
      <c r="H22" s="111">
        <v>4.371328372E9</v>
      </c>
      <c r="I22" s="110" t="s">
        <v>194</v>
      </c>
      <c r="J22" s="112" t="s">
        <v>195</v>
      </c>
      <c r="K22" s="112" t="s">
        <v>196</v>
      </c>
      <c r="L22" s="113" t="s">
        <v>197</v>
      </c>
      <c r="M22" s="110" t="s">
        <v>198</v>
      </c>
      <c r="N22" s="110" t="s">
        <v>125</v>
      </c>
      <c r="O22" s="110">
        <v>1800000.0</v>
      </c>
      <c r="P22" s="76" t="s">
        <v>97</v>
      </c>
      <c r="Q22" s="114"/>
      <c r="R22" s="114"/>
      <c r="S22" s="114"/>
      <c r="T22" s="115"/>
    </row>
    <row r="23">
      <c r="A23" s="110" t="s">
        <v>132</v>
      </c>
      <c r="B23" s="110" t="s">
        <v>199</v>
      </c>
      <c r="C23" s="110" t="s">
        <v>191</v>
      </c>
      <c r="D23" s="110" t="s">
        <v>200</v>
      </c>
      <c r="E23" s="110" t="s">
        <v>201</v>
      </c>
      <c r="F23" s="110">
        <v>7.05758605411E14</v>
      </c>
      <c r="G23" s="110" t="s">
        <v>51</v>
      </c>
      <c r="H23" s="111">
        <v>4.730345807E9</v>
      </c>
      <c r="I23" s="110" t="s">
        <v>202</v>
      </c>
      <c r="J23" s="112" t="s">
        <v>203</v>
      </c>
      <c r="K23" s="112" t="s">
        <v>204</v>
      </c>
      <c r="L23" s="113" t="s">
        <v>197</v>
      </c>
      <c r="M23" s="110" t="s">
        <v>198</v>
      </c>
      <c r="N23" s="110" t="s">
        <v>125</v>
      </c>
      <c r="O23" s="110">
        <v>250000.0</v>
      </c>
      <c r="P23" s="76" t="s">
        <v>97</v>
      </c>
      <c r="Q23" s="114"/>
      <c r="R23" s="114"/>
      <c r="S23" s="114"/>
      <c r="T23" s="115"/>
    </row>
    <row r="24">
      <c r="A24" s="110" t="s">
        <v>132</v>
      </c>
      <c r="B24" s="110" t="s">
        <v>155</v>
      </c>
      <c r="C24" s="110" t="s">
        <v>191</v>
      </c>
      <c r="D24" s="110" t="s">
        <v>205</v>
      </c>
      <c r="E24" s="110" t="s">
        <v>206</v>
      </c>
      <c r="F24" s="110">
        <v>6.38467050447E14</v>
      </c>
      <c r="G24" s="110" t="s">
        <v>51</v>
      </c>
      <c r="H24" s="111">
        <v>6.825358114E9</v>
      </c>
      <c r="I24" s="110" t="s">
        <v>207</v>
      </c>
      <c r="J24" s="112" t="s">
        <v>208</v>
      </c>
      <c r="K24" s="112" t="s">
        <v>209</v>
      </c>
      <c r="L24" s="113" t="s">
        <v>197</v>
      </c>
      <c r="M24" s="110" t="s">
        <v>198</v>
      </c>
      <c r="N24" s="110" t="s">
        <v>125</v>
      </c>
      <c r="O24" s="110">
        <v>1750000.0</v>
      </c>
      <c r="P24" s="76" t="s">
        <v>97</v>
      </c>
      <c r="Q24" s="114"/>
      <c r="R24" s="114"/>
      <c r="S24" s="114"/>
      <c r="T24" s="115"/>
    </row>
    <row r="25">
      <c r="A25" s="110" t="s">
        <v>132</v>
      </c>
      <c r="B25" s="110" t="s">
        <v>210</v>
      </c>
      <c r="C25" s="110" t="s">
        <v>191</v>
      </c>
      <c r="D25" s="110" t="s">
        <v>211</v>
      </c>
      <c r="E25" s="110" t="s">
        <v>212</v>
      </c>
      <c r="F25" s="110" t="s">
        <v>213</v>
      </c>
      <c r="G25" s="110" t="s">
        <v>51</v>
      </c>
      <c r="H25" s="111">
        <v>8.291073328E9</v>
      </c>
      <c r="I25" s="110" t="s">
        <v>214</v>
      </c>
      <c r="J25" s="112" t="s">
        <v>215</v>
      </c>
      <c r="K25" s="112" t="s">
        <v>216</v>
      </c>
      <c r="L25" s="113" t="s">
        <v>197</v>
      </c>
      <c r="M25" s="110" t="s">
        <v>198</v>
      </c>
      <c r="N25" s="110" t="s">
        <v>125</v>
      </c>
      <c r="O25" s="110">
        <v>500000.0</v>
      </c>
      <c r="P25" s="76" t="s">
        <v>97</v>
      </c>
      <c r="Q25" s="114"/>
      <c r="R25" s="114"/>
      <c r="S25" s="114"/>
      <c r="T25" s="115"/>
    </row>
    <row r="26">
      <c r="A26" s="110" t="s">
        <v>132</v>
      </c>
      <c r="B26" s="110" t="s">
        <v>217</v>
      </c>
      <c r="C26" s="110" t="s">
        <v>191</v>
      </c>
      <c r="D26" s="110" t="s">
        <v>218</v>
      </c>
      <c r="E26" s="110" t="s">
        <v>219</v>
      </c>
      <c r="F26" s="110" t="s">
        <v>220</v>
      </c>
      <c r="G26" s="110" t="s">
        <v>51</v>
      </c>
      <c r="H26" s="111">
        <v>2.771404075E9</v>
      </c>
      <c r="I26" s="110" t="s">
        <v>221</v>
      </c>
      <c r="J26" s="112" t="s">
        <v>222</v>
      </c>
      <c r="K26" s="112" t="s">
        <v>223</v>
      </c>
      <c r="L26" s="113" t="s">
        <v>197</v>
      </c>
      <c r="M26" s="110" t="s">
        <v>198</v>
      </c>
      <c r="N26" s="110" t="s">
        <v>125</v>
      </c>
      <c r="O26" s="110">
        <v>2950000.0</v>
      </c>
      <c r="P26" s="76" t="s">
        <v>97</v>
      </c>
      <c r="Q26" s="114"/>
      <c r="R26" s="114"/>
      <c r="S26" s="114"/>
      <c r="T26" s="115"/>
    </row>
    <row r="27">
      <c r="A27" s="110" t="s">
        <v>132</v>
      </c>
      <c r="B27" s="110" t="s">
        <v>224</v>
      </c>
      <c r="C27" s="110" t="s">
        <v>191</v>
      </c>
      <c r="D27" s="110" t="s">
        <v>225</v>
      </c>
      <c r="E27" s="110" t="s">
        <v>226</v>
      </c>
      <c r="F27" s="110" t="s">
        <v>213</v>
      </c>
      <c r="G27" s="110" t="s">
        <v>51</v>
      </c>
      <c r="H27" s="111">
        <v>8.410644453E9</v>
      </c>
      <c r="I27" s="110" t="s">
        <v>227</v>
      </c>
      <c r="J27" s="112" t="s">
        <v>228</v>
      </c>
      <c r="K27" s="112" t="s">
        <v>229</v>
      </c>
      <c r="L27" s="113" t="s">
        <v>197</v>
      </c>
      <c r="M27" s="110" t="s">
        <v>230</v>
      </c>
      <c r="N27" s="110" t="s">
        <v>125</v>
      </c>
      <c r="O27" s="110">
        <v>3000000.0</v>
      </c>
      <c r="P27" s="76" t="s">
        <v>97</v>
      </c>
      <c r="Q27" s="114"/>
      <c r="R27" s="114"/>
      <c r="S27" s="114"/>
      <c r="T27" s="115"/>
    </row>
    <row r="28">
      <c r="A28" s="116" t="s">
        <v>132</v>
      </c>
      <c r="B28" s="116" t="s">
        <v>162</v>
      </c>
      <c r="C28" s="116" t="s">
        <v>191</v>
      </c>
      <c r="D28" s="116" t="s">
        <v>231</v>
      </c>
      <c r="E28" s="116" t="s">
        <v>232</v>
      </c>
      <c r="F28" s="116" t="s">
        <v>233</v>
      </c>
      <c r="G28" s="116" t="s">
        <v>51</v>
      </c>
      <c r="H28" s="117">
        <v>6.611090509E9</v>
      </c>
      <c r="I28" s="116" t="s">
        <v>234</v>
      </c>
      <c r="J28" s="118" t="s">
        <v>235</v>
      </c>
      <c r="K28" s="118" t="s">
        <v>236</v>
      </c>
      <c r="L28" s="119" t="s">
        <v>197</v>
      </c>
      <c r="M28" s="116" t="s">
        <v>237</v>
      </c>
      <c r="N28" s="110" t="s">
        <v>125</v>
      </c>
      <c r="O28" s="116">
        <v>2300000.0</v>
      </c>
      <c r="P28" s="76" t="s">
        <v>97</v>
      </c>
      <c r="Q28" s="120"/>
      <c r="R28" s="121"/>
      <c r="S28" s="121"/>
      <c r="T28" s="122"/>
    </row>
    <row r="29">
      <c r="A29" s="123" t="s">
        <v>132</v>
      </c>
      <c r="B29" s="123" t="s">
        <v>238</v>
      </c>
      <c r="C29" s="116" t="s">
        <v>191</v>
      </c>
      <c r="D29" s="123" t="s">
        <v>239</v>
      </c>
      <c r="E29" s="123">
        <v>3.17201420807005E14</v>
      </c>
      <c r="F29" s="116" t="s">
        <v>233</v>
      </c>
      <c r="G29" s="123" t="s">
        <v>240</v>
      </c>
      <c r="H29" s="124">
        <v>1.680004225668E12</v>
      </c>
      <c r="I29" s="123" t="s">
        <v>241</v>
      </c>
      <c r="J29" s="125" t="s">
        <v>242</v>
      </c>
      <c r="K29" s="125" t="s">
        <v>243</v>
      </c>
      <c r="L29" s="119" t="s">
        <v>197</v>
      </c>
      <c r="M29" s="116" t="s">
        <v>237</v>
      </c>
      <c r="N29" s="110" t="s">
        <v>125</v>
      </c>
      <c r="O29" s="123">
        <v>750000.0</v>
      </c>
      <c r="P29" s="76" t="s">
        <v>97</v>
      </c>
      <c r="Q29" s="126"/>
      <c r="R29" s="127"/>
      <c r="S29" s="127"/>
      <c r="T29" s="128"/>
    </row>
    <row r="30">
      <c r="A30" s="123" t="s">
        <v>132</v>
      </c>
      <c r="B30" s="123" t="s">
        <v>155</v>
      </c>
      <c r="C30" s="116" t="s">
        <v>191</v>
      </c>
      <c r="D30" s="110" t="s">
        <v>205</v>
      </c>
      <c r="E30" s="110" t="s">
        <v>206</v>
      </c>
      <c r="F30" s="110">
        <v>6.38467050447E14</v>
      </c>
      <c r="G30" s="110" t="s">
        <v>51</v>
      </c>
      <c r="H30" s="111">
        <v>6.825358114E9</v>
      </c>
      <c r="I30" s="110" t="s">
        <v>207</v>
      </c>
      <c r="J30" s="125" t="s">
        <v>244</v>
      </c>
      <c r="K30" s="125" t="s">
        <v>245</v>
      </c>
      <c r="L30" s="119" t="s">
        <v>197</v>
      </c>
      <c r="M30" s="123" t="s">
        <v>124</v>
      </c>
      <c r="N30" s="110" t="s">
        <v>125</v>
      </c>
      <c r="O30" s="123">
        <v>250000.0</v>
      </c>
      <c r="P30" s="129" t="s">
        <v>97</v>
      </c>
      <c r="Q30" s="126"/>
      <c r="R30" s="127"/>
      <c r="S30" s="127"/>
      <c r="T30" s="128"/>
    </row>
    <row r="31">
      <c r="A31" s="123" t="s">
        <v>132</v>
      </c>
      <c r="B31" s="123" t="s">
        <v>246</v>
      </c>
      <c r="C31" s="116" t="s">
        <v>191</v>
      </c>
      <c r="D31" s="123" t="s">
        <v>247</v>
      </c>
      <c r="E31" s="123" t="s">
        <v>167</v>
      </c>
      <c r="F31" s="116" t="s">
        <v>233</v>
      </c>
      <c r="G31" s="123" t="s">
        <v>76</v>
      </c>
      <c r="H31" s="124">
        <v>9.0121861529E11</v>
      </c>
      <c r="I31" s="123" t="s">
        <v>168</v>
      </c>
      <c r="J31" s="125" t="s">
        <v>248</v>
      </c>
      <c r="K31" s="125" t="s">
        <v>249</v>
      </c>
      <c r="L31" s="119" t="s">
        <v>197</v>
      </c>
      <c r="M31" s="123" t="s">
        <v>250</v>
      </c>
      <c r="N31" s="110" t="s">
        <v>125</v>
      </c>
      <c r="O31" s="123">
        <v>750000.0</v>
      </c>
      <c r="P31" s="129" t="s">
        <v>97</v>
      </c>
      <c r="Q31" s="126"/>
      <c r="R31" s="127"/>
      <c r="S31" s="127"/>
      <c r="T31" s="128"/>
    </row>
    <row r="32">
      <c r="A32" s="123"/>
      <c r="B32" s="123"/>
      <c r="C32" s="123"/>
      <c r="D32" s="127"/>
      <c r="E32" s="127"/>
      <c r="F32" s="127"/>
      <c r="G32" s="127"/>
      <c r="H32" s="130"/>
      <c r="I32" s="127"/>
      <c r="J32" s="127"/>
      <c r="K32" s="127"/>
      <c r="L32" s="131"/>
      <c r="M32" s="127"/>
      <c r="N32" s="127"/>
      <c r="O32" s="123"/>
      <c r="P32" s="129"/>
      <c r="Q32" s="126"/>
      <c r="R32" s="127"/>
      <c r="S32" s="127"/>
      <c r="T32" s="128"/>
    </row>
    <row r="33">
      <c r="O33" s="89">
        <f>SUM(O22:O31)</f>
        <v>14300000</v>
      </c>
    </row>
    <row r="34">
      <c r="O34" s="132">
        <f>O33*0.5%</f>
        <v>71500</v>
      </c>
    </row>
    <row r="35">
      <c r="A35" s="36" t="s">
        <v>39</v>
      </c>
      <c r="B35" s="36" t="s">
        <v>40</v>
      </c>
    </row>
    <row r="36">
      <c r="A36" s="39"/>
      <c r="B36" s="39"/>
    </row>
    <row r="37">
      <c r="A37" s="43"/>
      <c r="B37" s="42"/>
    </row>
    <row r="38">
      <c r="A38" s="43"/>
      <c r="B38" s="42"/>
    </row>
    <row r="39">
      <c r="A39" s="43"/>
      <c r="B39" s="42"/>
    </row>
    <row r="40">
      <c r="A40" s="43"/>
      <c r="B40" s="42"/>
    </row>
    <row r="41">
      <c r="A41" s="43"/>
      <c r="B41" s="42"/>
    </row>
    <row r="42">
      <c r="A42" s="21"/>
      <c r="B42" s="21"/>
    </row>
  </sheetData>
  <mergeCells count="29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T20:T21"/>
    <mergeCell ref="H20:H21"/>
    <mergeCell ref="I20:I21"/>
    <mergeCell ref="J20:J21"/>
    <mergeCell ref="K20:K21"/>
    <mergeCell ref="L20:L21"/>
    <mergeCell ref="M20:M21"/>
    <mergeCell ref="N20:N21"/>
    <mergeCell ref="A35:A36"/>
    <mergeCell ref="B35:B36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P22:P32">
      <formula1>"Paid,Waiting payment ,Cancel"</formula1>
    </dataValidation>
    <dataValidation type="list" allowBlank="1" showErrorMessage="1" sqref="T22:T32">
      <formula1>"100 % (Lunas),50 %,Not Paid"</formula1>
    </dataValidation>
  </dataValidations>
  <hyperlinks>
    <hyperlink r:id="rId1" ref="J22"/>
    <hyperlink r:id="rId2" ref="K22"/>
    <hyperlink r:id="rId3" ref="J23"/>
    <hyperlink r:id="rId4" ref="K23"/>
    <hyperlink r:id="rId5" ref="J24"/>
    <hyperlink r:id="rId6" ref="K24"/>
    <hyperlink r:id="rId7" ref="J25"/>
    <hyperlink r:id="rId8" ref="K25"/>
    <hyperlink r:id="rId9" ref="J26"/>
    <hyperlink r:id="rId10" ref="K26"/>
    <hyperlink r:id="rId11" ref="J27"/>
    <hyperlink r:id="rId12" ref="K27"/>
    <hyperlink r:id="rId13" ref="J28"/>
    <hyperlink r:id="rId14" ref="K28"/>
    <hyperlink r:id="rId15" ref="J29"/>
    <hyperlink r:id="rId16" ref="K29"/>
    <hyperlink r:id="rId17" ref="J30"/>
    <hyperlink r:id="rId18" ref="K30"/>
    <hyperlink r:id="rId19" ref="J31"/>
    <hyperlink r:id="rId20" ref="K31"/>
  </hyperlinks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  <col customWidth="1" min="16" max="16" width="18.88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/>
      <c r="C4" s="8" t="s">
        <v>8</v>
      </c>
      <c r="D4" s="8">
        <v>1.0</v>
      </c>
      <c r="E4" s="9" t="s">
        <v>9</v>
      </c>
      <c r="F4" s="10" t="s">
        <v>10</v>
      </c>
      <c r="G4" s="11"/>
      <c r="H4" s="12" t="s">
        <v>11</v>
      </c>
    </row>
    <row r="5">
      <c r="A5" s="13"/>
      <c r="B5" s="7"/>
      <c r="C5" s="14"/>
      <c r="D5" s="14"/>
      <c r="E5" s="14"/>
      <c r="F5" s="15"/>
    </row>
    <row r="6">
      <c r="A6" s="13"/>
      <c r="B6" s="7"/>
      <c r="C6" s="14"/>
      <c r="D6" s="14"/>
      <c r="E6" s="14"/>
      <c r="F6" s="15"/>
    </row>
    <row r="7">
      <c r="A7" s="13"/>
      <c r="B7" s="7"/>
      <c r="C7" s="14"/>
      <c r="D7" s="14"/>
      <c r="E7" s="14"/>
      <c r="F7" s="15"/>
    </row>
    <row r="8">
      <c r="A8" s="16" t="s">
        <v>12</v>
      </c>
      <c r="B8" s="2"/>
      <c r="C8" s="2"/>
      <c r="D8" s="2"/>
      <c r="E8" s="2"/>
      <c r="F8" s="17"/>
    </row>
    <row r="9">
      <c r="A9" s="18" t="s">
        <v>13</v>
      </c>
      <c r="B9" s="2"/>
      <c r="C9" s="2"/>
      <c r="D9" s="2"/>
      <c r="E9" s="17"/>
      <c r="F9" s="19">
        <f>SUM(F4:F8)</f>
        <v>0</v>
      </c>
    </row>
    <row r="10">
      <c r="A10" s="18" t="s">
        <v>14</v>
      </c>
      <c r="B10" s="2"/>
      <c r="C10" s="2"/>
      <c r="D10" s="2"/>
      <c r="E10" s="17"/>
      <c r="F10" s="19">
        <f>ROUND(F9*11/12,0)</f>
        <v>0</v>
      </c>
    </row>
    <row r="11">
      <c r="A11" s="18" t="s">
        <v>15</v>
      </c>
      <c r="B11" s="2"/>
      <c r="C11" s="2"/>
      <c r="D11" s="2"/>
      <c r="E11" s="17"/>
      <c r="F11" s="19">
        <f>ROUND(F10*12%,0)</f>
        <v>0</v>
      </c>
    </row>
    <row r="12">
      <c r="A12" s="18" t="s">
        <v>16</v>
      </c>
      <c r="B12" s="2"/>
      <c r="C12" s="2"/>
      <c r="D12" s="2"/>
      <c r="E12" s="17"/>
      <c r="F12" s="19">
        <f>F9+F11</f>
        <v>0</v>
      </c>
    </row>
    <row r="15">
      <c r="A15" s="20" t="s">
        <v>17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3"/>
      <c r="Q15" s="23"/>
      <c r="R15" s="21"/>
      <c r="S15" s="21"/>
      <c r="T15" s="21"/>
    </row>
    <row r="16">
      <c r="A16" s="24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3"/>
      <c r="Q16" s="23"/>
      <c r="R16" s="21"/>
      <c r="S16" s="21"/>
      <c r="T16" s="21"/>
    </row>
    <row r="17">
      <c r="A17" s="25"/>
      <c r="B17" s="26" t="s">
        <v>18</v>
      </c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3"/>
      <c r="Q17" s="23"/>
      <c r="R17" s="21"/>
      <c r="S17" s="21"/>
      <c r="T17" s="21"/>
    </row>
    <row r="18">
      <c r="A18" s="27"/>
      <c r="B18" s="26" t="s">
        <v>19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3"/>
      <c r="Q18" s="23"/>
      <c r="R18" s="21"/>
      <c r="S18" s="21"/>
      <c r="T18" s="21"/>
    </row>
    <row r="19">
      <c r="A19" s="21"/>
      <c r="B19" s="21"/>
      <c r="C19" s="21"/>
      <c r="D19" s="21"/>
      <c r="E19" s="28"/>
      <c r="F19" s="28"/>
      <c r="G19" s="28"/>
      <c r="H19" s="29"/>
      <c r="I19" s="28"/>
      <c r="J19" s="28"/>
      <c r="K19" s="28"/>
      <c r="L19" s="28"/>
      <c r="M19" s="28"/>
      <c r="N19" s="28"/>
      <c r="O19" s="28"/>
      <c r="P19" s="30"/>
      <c r="Q19" s="30"/>
      <c r="R19" s="28"/>
      <c r="S19" s="28"/>
      <c r="T19" s="21"/>
    </row>
    <row r="20">
      <c r="A20" s="133" t="s">
        <v>20</v>
      </c>
      <c r="B20" s="133" t="s">
        <v>21</v>
      </c>
      <c r="C20" s="134" t="s">
        <v>22</v>
      </c>
      <c r="D20" s="133" t="s">
        <v>23</v>
      </c>
      <c r="E20" s="133" t="s">
        <v>24</v>
      </c>
      <c r="F20" s="133" t="s">
        <v>25</v>
      </c>
      <c r="G20" s="133" t="s">
        <v>26</v>
      </c>
      <c r="H20" s="135" t="s">
        <v>27</v>
      </c>
      <c r="I20" s="133" t="s">
        <v>28</v>
      </c>
      <c r="J20" s="134" t="s">
        <v>29</v>
      </c>
      <c r="K20" s="134" t="s">
        <v>30</v>
      </c>
      <c r="L20" s="133" t="s">
        <v>31</v>
      </c>
      <c r="M20" s="133" t="s">
        <v>32</v>
      </c>
      <c r="N20" s="136" t="s">
        <v>33</v>
      </c>
      <c r="O20" s="137" t="s">
        <v>251</v>
      </c>
      <c r="P20" s="68" t="s">
        <v>88</v>
      </c>
      <c r="Q20" s="138" t="s">
        <v>35</v>
      </c>
      <c r="R20" s="136" t="s">
        <v>36</v>
      </c>
      <c r="S20" s="133" t="s">
        <v>37</v>
      </c>
      <c r="T20" s="139" t="s">
        <v>38</v>
      </c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69"/>
      <c r="Q21" s="39"/>
      <c r="R21" s="39"/>
      <c r="S21" s="39"/>
    </row>
    <row r="22">
      <c r="A22" s="44" t="s">
        <v>132</v>
      </c>
      <c r="B22" s="44" t="s">
        <v>252</v>
      </c>
      <c r="C22" s="44" t="s">
        <v>64</v>
      </c>
      <c r="D22" s="44" t="s">
        <v>253</v>
      </c>
      <c r="E22" s="44" t="s">
        <v>254</v>
      </c>
      <c r="F22" s="44" t="s">
        <v>255</v>
      </c>
      <c r="G22" s="44" t="s">
        <v>51</v>
      </c>
      <c r="H22" s="65">
        <v>7.61122062E9</v>
      </c>
      <c r="I22" s="44" t="s">
        <v>256</v>
      </c>
      <c r="J22" s="140" t="s">
        <v>257</v>
      </c>
      <c r="K22" s="45" t="s">
        <v>258</v>
      </c>
      <c r="L22" s="44" t="s">
        <v>259</v>
      </c>
      <c r="M22" s="44" t="s">
        <v>198</v>
      </c>
      <c r="N22" s="44" t="s">
        <v>125</v>
      </c>
      <c r="O22" s="44">
        <v>2500000.0</v>
      </c>
      <c r="P22" s="129" t="s">
        <v>97</v>
      </c>
      <c r="Q22" s="40"/>
      <c r="R22" s="40"/>
      <c r="S22" s="40"/>
      <c r="T22" s="42"/>
    </row>
    <row r="23">
      <c r="A23" s="44" t="s">
        <v>132</v>
      </c>
      <c r="B23" s="44" t="s">
        <v>260</v>
      </c>
      <c r="C23" s="44" t="s">
        <v>64</v>
      </c>
      <c r="D23" s="44" t="s">
        <v>261</v>
      </c>
      <c r="E23" s="44" t="s">
        <v>262</v>
      </c>
      <c r="F23" s="44" t="s">
        <v>263</v>
      </c>
      <c r="G23" s="44" t="s">
        <v>51</v>
      </c>
      <c r="H23" s="65">
        <v>6.760438136E9</v>
      </c>
      <c r="I23" s="44" t="s">
        <v>264</v>
      </c>
      <c r="J23" s="45" t="s">
        <v>265</v>
      </c>
      <c r="K23" s="45" t="s">
        <v>266</v>
      </c>
      <c r="L23" s="44" t="s">
        <v>259</v>
      </c>
      <c r="M23" s="44" t="s">
        <v>198</v>
      </c>
      <c r="N23" s="44" t="s">
        <v>125</v>
      </c>
      <c r="O23" s="44">
        <v>1250000.0</v>
      </c>
      <c r="P23" s="129" t="s">
        <v>97</v>
      </c>
      <c r="Q23" s="141"/>
      <c r="R23" s="40"/>
      <c r="S23" s="40"/>
      <c r="T23" s="42"/>
    </row>
    <row r="24">
      <c r="A24" s="44" t="s">
        <v>132</v>
      </c>
      <c r="B24" s="44" t="s">
        <v>267</v>
      </c>
      <c r="C24" s="44" t="s">
        <v>64</v>
      </c>
      <c r="D24" s="44" t="s">
        <v>268</v>
      </c>
      <c r="E24" s="44" t="s">
        <v>269</v>
      </c>
      <c r="F24" s="44" t="s">
        <v>213</v>
      </c>
      <c r="G24" s="44" t="s">
        <v>51</v>
      </c>
      <c r="H24" s="65">
        <v>7.651335161E9</v>
      </c>
      <c r="I24" s="44" t="s">
        <v>270</v>
      </c>
      <c r="J24" s="45" t="s">
        <v>271</v>
      </c>
      <c r="K24" s="45" t="s">
        <v>272</v>
      </c>
      <c r="L24" s="44" t="s">
        <v>259</v>
      </c>
      <c r="M24" s="44" t="s">
        <v>198</v>
      </c>
      <c r="N24" s="44" t="s">
        <v>125</v>
      </c>
      <c r="O24" s="44">
        <v>1500000.0</v>
      </c>
      <c r="P24" s="129" t="s">
        <v>97</v>
      </c>
      <c r="Q24" s="40"/>
      <c r="R24" s="40"/>
      <c r="S24" s="40"/>
      <c r="T24" s="42"/>
    </row>
    <row r="25">
      <c r="A25" s="44" t="s">
        <v>132</v>
      </c>
      <c r="B25" s="44" t="s">
        <v>273</v>
      </c>
      <c r="C25" s="44" t="s">
        <v>64</v>
      </c>
      <c r="D25" s="44" t="s">
        <v>274</v>
      </c>
      <c r="E25" s="44" t="s">
        <v>275</v>
      </c>
      <c r="F25" s="44" t="s">
        <v>213</v>
      </c>
      <c r="G25" s="44" t="s">
        <v>51</v>
      </c>
      <c r="H25" s="65">
        <v>6.044658687E9</v>
      </c>
      <c r="I25" s="44" t="s">
        <v>276</v>
      </c>
      <c r="J25" s="45" t="s">
        <v>277</v>
      </c>
      <c r="K25" s="45" t="s">
        <v>278</v>
      </c>
      <c r="L25" s="44" t="s">
        <v>259</v>
      </c>
      <c r="M25" s="44" t="s">
        <v>198</v>
      </c>
      <c r="N25" s="44" t="s">
        <v>125</v>
      </c>
      <c r="O25" s="44">
        <v>1000000.0</v>
      </c>
      <c r="P25" s="129" t="s">
        <v>97</v>
      </c>
      <c r="Q25" s="40"/>
      <c r="R25" s="40"/>
      <c r="S25" s="40"/>
      <c r="T25" s="42"/>
    </row>
    <row r="26">
      <c r="A26" s="44" t="s">
        <v>132</v>
      </c>
      <c r="B26" s="44" t="s">
        <v>279</v>
      </c>
      <c r="C26" s="44" t="s">
        <v>64</v>
      </c>
      <c r="D26" s="40"/>
      <c r="E26" s="40"/>
      <c r="F26" s="40"/>
      <c r="G26" s="40"/>
      <c r="H26" s="41"/>
      <c r="I26" s="40"/>
      <c r="J26" s="40"/>
      <c r="K26" s="40"/>
      <c r="L26" s="44" t="s">
        <v>259</v>
      </c>
      <c r="M26" s="40"/>
      <c r="N26" s="44" t="s">
        <v>125</v>
      </c>
      <c r="O26" s="44">
        <v>300000.0</v>
      </c>
      <c r="P26" s="129"/>
      <c r="Q26" s="40"/>
      <c r="R26" s="40"/>
      <c r="S26" s="40"/>
      <c r="T26" s="42"/>
    </row>
    <row r="27">
      <c r="O27" s="89">
        <f>SUM(O22:O26)</f>
        <v>6550000</v>
      </c>
    </row>
    <row r="28">
      <c r="O28" s="132">
        <f>O27*0.5%</f>
        <v>32750</v>
      </c>
    </row>
    <row r="29">
      <c r="A29" s="36" t="s">
        <v>39</v>
      </c>
      <c r="B29" s="36" t="s">
        <v>40</v>
      </c>
    </row>
    <row r="30">
      <c r="A30" s="39"/>
      <c r="B30" s="39"/>
    </row>
    <row r="31">
      <c r="A31" s="43"/>
      <c r="B31" s="42"/>
    </row>
    <row r="32">
      <c r="A32" s="43"/>
      <c r="B32" s="42"/>
    </row>
    <row r="33">
      <c r="A33" s="43"/>
      <c r="B33" s="42"/>
    </row>
    <row r="34">
      <c r="A34" s="43"/>
      <c r="B34" s="42"/>
    </row>
    <row r="35">
      <c r="A35" s="43"/>
      <c r="B35" s="42"/>
    </row>
    <row r="36">
      <c r="A36" s="21"/>
      <c r="B36" s="21"/>
    </row>
  </sheetData>
  <mergeCells count="29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T20:T21"/>
    <mergeCell ref="H20:H21"/>
    <mergeCell ref="I20:I21"/>
    <mergeCell ref="J20:J21"/>
    <mergeCell ref="K20:K21"/>
    <mergeCell ref="L20:L21"/>
    <mergeCell ref="M20:M21"/>
    <mergeCell ref="N20:N21"/>
    <mergeCell ref="A29:A30"/>
    <mergeCell ref="B29:B30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P22:P26">
      <formula1>"Paid,Waiting payment ,Cancel"</formula1>
    </dataValidation>
    <dataValidation type="list" allowBlank="1" showErrorMessage="1" sqref="T22:T26">
      <formula1>"100 % (Lunas),50 %,Not Paid"</formula1>
    </dataValidation>
  </dataValidations>
  <hyperlinks>
    <hyperlink r:id="rId1" ref="J22"/>
    <hyperlink r:id="rId2" ref="K22"/>
    <hyperlink r:id="rId3" ref="J23"/>
    <hyperlink r:id="rId4" ref="K23"/>
    <hyperlink r:id="rId5" ref="J24"/>
    <hyperlink r:id="rId6" ref="K24"/>
    <hyperlink r:id="rId7" ref="J25"/>
    <hyperlink r:id="rId8" ref="K25"/>
  </hyperlinks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  <col customWidth="1" min="16" max="16" width="18.88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142" t="s">
        <v>0</v>
      </c>
      <c r="B2" s="2"/>
      <c r="C2" s="2"/>
      <c r="D2" s="2"/>
      <c r="E2" s="2"/>
      <c r="F2" s="143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144" t="s">
        <v>1</v>
      </c>
      <c r="B3" s="145" t="s">
        <v>2</v>
      </c>
      <c r="C3" s="145" t="s">
        <v>3</v>
      </c>
      <c r="D3" s="145" t="s">
        <v>4</v>
      </c>
      <c r="E3" s="145" t="s">
        <v>5</v>
      </c>
      <c r="F3" s="145" t="s">
        <v>6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146"/>
      <c r="B4" s="147"/>
      <c r="C4" s="148"/>
      <c r="D4" s="148"/>
      <c r="E4" s="149"/>
      <c r="F4" s="150"/>
      <c r="G4" s="151"/>
      <c r="H4" s="152" t="s">
        <v>11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153"/>
      <c r="B5" s="147"/>
      <c r="C5" s="154"/>
      <c r="D5" s="154"/>
      <c r="E5" s="154"/>
      <c r="F5" s="15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153"/>
      <c r="B6" s="147"/>
      <c r="C6" s="154"/>
      <c r="D6" s="154"/>
      <c r="E6" s="154"/>
      <c r="F6" s="15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153"/>
      <c r="B7" s="147"/>
      <c r="C7" s="154"/>
      <c r="D7" s="154"/>
      <c r="E7" s="154"/>
      <c r="F7" s="15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156" t="s">
        <v>12</v>
      </c>
      <c r="B8" s="2"/>
      <c r="C8" s="2"/>
      <c r="D8" s="2"/>
      <c r="E8" s="2"/>
      <c r="F8" s="17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157" t="s">
        <v>13</v>
      </c>
      <c r="B9" s="2"/>
      <c r="C9" s="2"/>
      <c r="D9" s="2"/>
      <c r="E9" s="17"/>
      <c r="F9" s="158">
        <f>SUM(F4:F8)</f>
        <v>0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157" t="s">
        <v>14</v>
      </c>
      <c r="B10" s="2"/>
      <c r="C10" s="2"/>
      <c r="D10" s="2"/>
      <c r="E10" s="17"/>
      <c r="F10" s="158">
        <f>ROUND(F9*11/12,0)</f>
        <v>0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157" t="s">
        <v>15</v>
      </c>
      <c r="B11" s="2"/>
      <c r="C11" s="2"/>
      <c r="D11" s="2"/>
      <c r="E11" s="17"/>
      <c r="F11" s="158">
        <f>ROUND(F10*12%,0)</f>
        <v>0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157" t="s">
        <v>16</v>
      </c>
      <c r="B12" s="2"/>
      <c r="C12" s="2"/>
      <c r="D12" s="2"/>
      <c r="E12" s="17"/>
      <c r="F12" s="158">
        <f>F9+F11</f>
        <v>0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159" t="s">
        <v>17</v>
      </c>
      <c r="C15" s="78"/>
      <c r="D15" s="78"/>
      <c r="E15" s="78"/>
      <c r="F15" s="78"/>
      <c r="G15" s="78"/>
      <c r="H15" s="160"/>
      <c r="I15" s="78"/>
      <c r="J15" s="78"/>
      <c r="K15" s="78"/>
      <c r="L15" s="78"/>
      <c r="M15" s="78"/>
      <c r="N15" s="78"/>
      <c r="O15" s="78"/>
      <c r="P15" s="161"/>
      <c r="Q15" s="161"/>
      <c r="R15" s="78"/>
      <c r="S15" s="78"/>
      <c r="T15" s="78"/>
      <c r="U15" s="85"/>
      <c r="V15" s="85"/>
      <c r="W15" s="85"/>
      <c r="X15" s="85"/>
      <c r="Y15" s="85"/>
      <c r="Z15" s="85"/>
      <c r="AA15" s="85"/>
    </row>
    <row r="16">
      <c r="A16" s="162"/>
      <c r="B16" s="78"/>
      <c r="C16" s="78"/>
      <c r="D16" s="78"/>
      <c r="E16" s="78"/>
      <c r="F16" s="78"/>
      <c r="G16" s="78"/>
      <c r="H16" s="160"/>
      <c r="I16" s="78"/>
      <c r="J16" s="78"/>
      <c r="K16" s="78"/>
      <c r="L16" s="78"/>
      <c r="M16" s="78"/>
      <c r="N16" s="78"/>
      <c r="O16" s="78"/>
      <c r="P16" s="161"/>
      <c r="Q16" s="161"/>
      <c r="R16" s="78"/>
      <c r="S16" s="78"/>
      <c r="T16" s="78"/>
      <c r="U16" s="85"/>
      <c r="V16" s="85"/>
      <c r="W16" s="85"/>
      <c r="X16" s="85"/>
      <c r="Y16" s="85"/>
      <c r="Z16" s="85"/>
      <c r="AA16" s="85"/>
    </row>
    <row r="17">
      <c r="A17" s="163"/>
      <c r="B17" s="164" t="s">
        <v>18</v>
      </c>
      <c r="C17" s="78"/>
      <c r="D17" s="78"/>
      <c r="E17" s="78"/>
      <c r="F17" s="78"/>
      <c r="G17" s="78"/>
      <c r="H17" s="160"/>
      <c r="I17" s="78"/>
      <c r="J17" s="78"/>
      <c r="K17" s="78"/>
      <c r="L17" s="78"/>
      <c r="M17" s="78"/>
      <c r="N17" s="78"/>
      <c r="O17" s="78"/>
      <c r="P17" s="161"/>
      <c r="Q17" s="161"/>
      <c r="R17" s="78"/>
      <c r="S17" s="78"/>
      <c r="T17" s="78"/>
      <c r="U17" s="85"/>
      <c r="V17" s="85"/>
      <c r="W17" s="85"/>
      <c r="X17" s="85"/>
      <c r="Y17" s="85"/>
      <c r="Z17" s="85"/>
      <c r="AA17" s="85"/>
    </row>
    <row r="18">
      <c r="A18" s="165"/>
      <c r="B18" s="164" t="s">
        <v>19</v>
      </c>
      <c r="C18" s="78"/>
      <c r="D18" s="78"/>
      <c r="E18" s="78"/>
      <c r="F18" s="78"/>
      <c r="G18" s="78"/>
      <c r="H18" s="160"/>
      <c r="I18" s="78"/>
      <c r="J18" s="78"/>
      <c r="K18" s="78"/>
      <c r="L18" s="78"/>
      <c r="M18" s="78"/>
      <c r="N18" s="78"/>
      <c r="O18" s="78"/>
      <c r="P18" s="161"/>
      <c r="Q18" s="161"/>
      <c r="R18" s="78"/>
      <c r="S18" s="78"/>
      <c r="T18" s="78"/>
      <c r="U18" s="85"/>
      <c r="V18" s="85"/>
      <c r="W18" s="85"/>
      <c r="X18" s="85"/>
      <c r="Y18" s="85"/>
      <c r="Z18" s="85"/>
      <c r="AA18" s="85"/>
    </row>
    <row r="19">
      <c r="A19" s="78"/>
      <c r="B19" s="78"/>
      <c r="C19" s="78"/>
      <c r="D19" s="78"/>
      <c r="E19" s="166"/>
      <c r="F19" s="166"/>
      <c r="G19" s="166"/>
      <c r="H19" s="167"/>
      <c r="I19" s="166"/>
      <c r="J19" s="166"/>
      <c r="K19" s="166"/>
      <c r="L19" s="166"/>
      <c r="M19" s="166"/>
      <c r="N19" s="166"/>
      <c r="O19" s="166"/>
      <c r="P19" s="168"/>
      <c r="Q19" s="168"/>
      <c r="R19" s="166"/>
      <c r="S19" s="166"/>
      <c r="T19" s="78"/>
      <c r="U19" s="85"/>
      <c r="V19" s="85"/>
      <c r="W19" s="85"/>
      <c r="X19" s="85"/>
      <c r="Y19" s="85"/>
      <c r="Z19" s="85"/>
      <c r="AA19" s="85"/>
    </row>
    <row r="20">
      <c r="A20" s="133" t="s">
        <v>20</v>
      </c>
      <c r="B20" s="133" t="s">
        <v>21</v>
      </c>
      <c r="C20" s="134" t="s">
        <v>22</v>
      </c>
      <c r="D20" s="133" t="s">
        <v>23</v>
      </c>
      <c r="E20" s="133" t="s">
        <v>24</v>
      </c>
      <c r="F20" s="133" t="s">
        <v>25</v>
      </c>
      <c r="G20" s="133" t="s">
        <v>26</v>
      </c>
      <c r="H20" s="135" t="s">
        <v>27</v>
      </c>
      <c r="I20" s="133" t="s">
        <v>28</v>
      </c>
      <c r="J20" s="134" t="s">
        <v>29</v>
      </c>
      <c r="K20" s="134" t="s">
        <v>30</v>
      </c>
      <c r="L20" s="133" t="s">
        <v>31</v>
      </c>
      <c r="M20" s="133" t="s">
        <v>32</v>
      </c>
      <c r="N20" s="136" t="s">
        <v>33</v>
      </c>
      <c r="O20" s="137" t="s">
        <v>251</v>
      </c>
      <c r="P20" s="68" t="s">
        <v>88</v>
      </c>
      <c r="Q20" s="138" t="s">
        <v>35</v>
      </c>
      <c r="R20" s="136" t="s">
        <v>36</v>
      </c>
      <c r="S20" s="133" t="s">
        <v>37</v>
      </c>
      <c r="T20" s="139" t="s">
        <v>38</v>
      </c>
      <c r="U20" s="85"/>
      <c r="V20" s="85"/>
      <c r="W20" s="85"/>
      <c r="X20" s="85"/>
      <c r="Y20" s="85"/>
      <c r="Z20" s="85"/>
      <c r="AA20" s="85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69"/>
      <c r="Q21" s="39"/>
      <c r="R21" s="39"/>
      <c r="S21" s="39"/>
      <c r="U21" s="85"/>
      <c r="V21" s="85"/>
      <c r="W21" s="85"/>
      <c r="X21" s="85"/>
      <c r="Y21" s="85"/>
      <c r="Z21" s="85"/>
      <c r="AA21" s="85"/>
    </row>
    <row r="22">
      <c r="A22" s="79" t="s">
        <v>280</v>
      </c>
      <c r="B22" s="71" t="s">
        <v>281</v>
      </c>
      <c r="C22" s="79" t="s">
        <v>282</v>
      </c>
      <c r="D22" s="79"/>
      <c r="E22" s="79"/>
      <c r="F22" s="79"/>
      <c r="G22" s="79"/>
      <c r="H22" s="80"/>
      <c r="I22" s="79"/>
      <c r="J22" s="169"/>
      <c r="K22" s="170" t="s">
        <v>283</v>
      </c>
      <c r="L22" s="79"/>
      <c r="M22" s="79"/>
      <c r="N22" s="79"/>
      <c r="O22" s="79">
        <v>250000.0</v>
      </c>
      <c r="P22" s="80" t="s">
        <v>97</v>
      </c>
      <c r="Q22" s="70"/>
      <c r="R22" s="171">
        <v>46055.0</v>
      </c>
      <c r="S22" s="70"/>
      <c r="T22" s="84"/>
      <c r="U22" s="85"/>
      <c r="V22" s="85"/>
      <c r="W22" s="85"/>
      <c r="X22" s="85"/>
      <c r="Y22" s="85"/>
      <c r="Z22" s="85"/>
      <c r="AA22" s="85"/>
    </row>
    <row r="23">
      <c r="A23" s="79" t="s">
        <v>280</v>
      </c>
      <c r="B23" s="71" t="s">
        <v>284</v>
      </c>
      <c r="C23" s="79" t="s">
        <v>282</v>
      </c>
      <c r="D23" s="79"/>
      <c r="E23" s="79"/>
      <c r="F23" s="79"/>
      <c r="G23" s="79"/>
      <c r="H23" s="80"/>
      <c r="I23" s="79"/>
      <c r="J23" s="79"/>
      <c r="K23" s="170" t="s">
        <v>283</v>
      </c>
      <c r="L23" s="79"/>
      <c r="M23" s="79"/>
      <c r="N23" s="79"/>
      <c r="O23" s="79">
        <v>250000.0</v>
      </c>
      <c r="P23" s="80" t="s">
        <v>97</v>
      </c>
      <c r="Q23" s="172"/>
      <c r="R23" s="171">
        <v>46055.0</v>
      </c>
      <c r="S23" s="70"/>
      <c r="T23" s="84"/>
      <c r="U23" s="85"/>
      <c r="V23" s="85"/>
      <c r="W23" s="85"/>
      <c r="X23" s="85"/>
      <c r="Y23" s="85"/>
      <c r="Z23" s="85"/>
      <c r="AA23" s="85"/>
    </row>
    <row r="24">
      <c r="A24" s="79" t="s">
        <v>280</v>
      </c>
      <c r="B24" s="71" t="s">
        <v>285</v>
      </c>
      <c r="C24" s="79" t="s">
        <v>282</v>
      </c>
      <c r="D24" s="79"/>
      <c r="E24" s="79"/>
      <c r="F24" s="79"/>
      <c r="G24" s="79"/>
      <c r="H24" s="80"/>
      <c r="I24" s="79"/>
      <c r="J24" s="79"/>
      <c r="K24" s="170" t="s">
        <v>283</v>
      </c>
      <c r="L24" s="79"/>
      <c r="M24" s="79"/>
      <c r="N24" s="79"/>
      <c r="O24" s="79">
        <v>200000.0</v>
      </c>
      <c r="P24" s="80" t="s">
        <v>97</v>
      </c>
      <c r="Q24" s="70"/>
      <c r="R24" s="171">
        <v>46055.0</v>
      </c>
      <c r="S24" s="70"/>
      <c r="T24" s="84"/>
      <c r="U24" s="85"/>
      <c r="V24" s="85"/>
      <c r="W24" s="85"/>
      <c r="X24" s="85"/>
      <c r="Y24" s="85"/>
      <c r="Z24" s="85"/>
      <c r="AA24" s="85"/>
    </row>
    <row r="25">
      <c r="A25" s="79" t="s">
        <v>280</v>
      </c>
      <c r="B25" s="71" t="s">
        <v>286</v>
      </c>
      <c r="C25" s="79" t="s">
        <v>282</v>
      </c>
      <c r="D25" s="79"/>
      <c r="E25" s="79"/>
      <c r="F25" s="79"/>
      <c r="G25" s="79"/>
      <c r="H25" s="80"/>
      <c r="I25" s="79"/>
      <c r="J25" s="79"/>
      <c r="K25" s="170" t="s">
        <v>283</v>
      </c>
      <c r="L25" s="79"/>
      <c r="M25" s="79"/>
      <c r="N25" s="79"/>
      <c r="O25" s="79">
        <v>250000.0</v>
      </c>
      <c r="P25" s="80" t="s">
        <v>97</v>
      </c>
      <c r="Q25" s="70"/>
      <c r="R25" s="171">
        <v>46055.0</v>
      </c>
      <c r="S25" s="70"/>
      <c r="T25" s="84"/>
      <c r="U25" s="85"/>
      <c r="V25" s="85"/>
      <c r="W25" s="85"/>
      <c r="X25" s="85"/>
      <c r="Y25" s="85"/>
      <c r="Z25" s="85"/>
      <c r="AA25" s="85"/>
    </row>
    <row r="26">
      <c r="A26" s="79" t="s">
        <v>280</v>
      </c>
      <c r="B26" s="173" t="s">
        <v>287</v>
      </c>
      <c r="C26" s="79" t="s">
        <v>282</v>
      </c>
      <c r="D26" s="70"/>
      <c r="E26" s="70"/>
      <c r="F26" s="70"/>
      <c r="G26" s="70"/>
      <c r="H26" s="86"/>
      <c r="I26" s="70"/>
      <c r="J26" s="70"/>
      <c r="K26" s="170" t="s">
        <v>283</v>
      </c>
      <c r="L26" s="79"/>
      <c r="M26" s="70"/>
      <c r="N26" s="79"/>
      <c r="O26" s="79">
        <v>750000.0</v>
      </c>
      <c r="P26" s="80" t="s">
        <v>97</v>
      </c>
      <c r="Q26" s="70"/>
      <c r="R26" s="171">
        <v>46055.0</v>
      </c>
      <c r="S26" s="70"/>
      <c r="T26" s="84"/>
      <c r="U26" s="85"/>
      <c r="V26" s="85"/>
      <c r="W26" s="85"/>
      <c r="X26" s="85"/>
      <c r="Y26" s="85"/>
      <c r="Z26" s="85"/>
      <c r="AA26" s="85"/>
    </row>
    <row r="27">
      <c r="A27" s="79" t="s">
        <v>280</v>
      </c>
      <c r="B27" s="173" t="s">
        <v>288</v>
      </c>
      <c r="C27" s="79" t="s">
        <v>282</v>
      </c>
      <c r="D27" s="70"/>
      <c r="E27" s="70"/>
      <c r="F27" s="70"/>
      <c r="G27" s="70"/>
      <c r="H27" s="86"/>
      <c r="I27" s="70"/>
      <c r="J27" s="70"/>
      <c r="K27" s="170" t="s">
        <v>283</v>
      </c>
      <c r="L27" s="79"/>
      <c r="M27" s="70"/>
      <c r="N27" s="79"/>
      <c r="O27" s="79">
        <v>4500000.0</v>
      </c>
      <c r="P27" s="80" t="s">
        <v>97</v>
      </c>
      <c r="Q27" s="70"/>
      <c r="R27" s="171">
        <v>46055.0</v>
      </c>
      <c r="S27" s="70"/>
      <c r="T27" s="84"/>
      <c r="U27" s="85"/>
      <c r="V27" s="85"/>
      <c r="W27" s="85"/>
      <c r="X27" s="85"/>
      <c r="Y27" s="85"/>
      <c r="Z27" s="85"/>
      <c r="AA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174">
        <f>SUM(O22:O27)</f>
        <v>6200000</v>
      </c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175" t="s">
        <v>39</v>
      </c>
      <c r="B30" s="175" t="s">
        <v>40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39"/>
      <c r="B31" s="39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176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176"/>
      <c r="B33" s="84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176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176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176"/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78"/>
      <c r="B37" s="78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</sheetData>
  <mergeCells count="29">
    <mergeCell ref="A2:E2"/>
    <mergeCell ref="A8:F8"/>
    <mergeCell ref="A9:E9"/>
    <mergeCell ref="A10:E10"/>
    <mergeCell ref="A11:E11"/>
    <mergeCell ref="A12:E12"/>
    <mergeCell ref="A15:B15"/>
    <mergeCell ref="O20:O21"/>
    <mergeCell ref="P20:P21"/>
    <mergeCell ref="Q20:Q21"/>
    <mergeCell ref="R20:R21"/>
    <mergeCell ref="S20:S21"/>
    <mergeCell ref="T20:T21"/>
    <mergeCell ref="H20:H21"/>
    <mergeCell ref="I20:I21"/>
    <mergeCell ref="J20:J21"/>
    <mergeCell ref="K20:K21"/>
    <mergeCell ref="L20:L21"/>
    <mergeCell ref="M20:M21"/>
    <mergeCell ref="N20:N21"/>
    <mergeCell ref="A30:A31"/>
    <mergeCell ref="B30:B31"/>
    <mergeCell ref="A20:A21"/>
    <mergeCell ref="B20:B21"/>
    <mergeCell ref="C20:C21"/>
    <mergeCell ref="D20:D21"/>
    <mergeCell ref="E20:E21"/>
    <mergeCell ref="F20:F21"/>
    <mergeCell ref="G20:G21"/>
  </mergeCells>
  <dataValidations>
    <dataValidation type="list" allowBlank="1" showErrorMessage="1" sqref="P22:P27">
      <formula1>"Paid,Waiting payment ,Cancel"</formula1>
    </dataValidation>
    <dataValidation type="list" allowBlank="1" showErrorMessage="1" sqref="T22:T27">
      <formula1>"100 % (Lunas),50 %,Not Paid"</formula1>
    </dataValidation>
  </dataValidations>
  <hyperlinks>
    <hyperlink r:id="rId1" ref="K22"/>
    <hyperlink r:id="rId2" ref="K23"/>
    <hyperlink r:id="rId3" ref="K24"/>
    <hyperlink r:id="rId4" ref="K25"/>
    <hyperlink r:id="rId5" ref="K26"/>
    <hyperlink r:id="rId6" ref="K27"/>
  </hyperlinks>
  <drawing r:id="rId7"/>
</worksheet>
</file>