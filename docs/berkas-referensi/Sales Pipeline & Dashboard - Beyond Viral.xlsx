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peline" sheetId="1" r:id="rId5"/>
    <sheet state="visible" name="Campaigns" sheetId="2" r:id="rId6"/>
    <sheet state="hidden" name="Inputs_Targets" sheetId="3" r:id="rId7"/>
    <sheet state="hidden" name="Dashboard" sheetId="4" r:id="rId8"/>
    <sheet state="hidden" name="Helper" sheetId="5" r:id="rId9"/>
  </sheets>
  <definedNames>
    <definedName hidden="1" localSheetId="0" name="_xlnm._FilterDatabase">Pipeline!$A$1:$O$55</definedName>
  </definedNames>
  <calcPr/>
</workbook>
</file>

<file path=xl/sharedStrings.xml><?xml version="1.0" encoding="utf-8"?>
<sst xmlns="http://schemas.openxmlformats.org/spreadsheetml/2006/main" count="546" uniqueCount="274">
  <si>
    <t>Months</t>
  </si>
  <si>
    <t>Client/Brand</t>
  </si>
  <si>
    <t>Brand / Agency</t>
  </si>
  <si>
    <t>Campagin Name</t>
  </si>
  <si>
    <t>PIC</t>
  </si>
  <si>
    <t>Stage/Status</t>
  </si>
  <si>
    <t>Amount_IDR</t>
  </si>
  <si>
    <t>Created_Date</t>
  </si>
  <si>
    <t>Deadline Date</t>
  </si>
  <si>
    <t>Amount_Deals</t>
  </si>
  <si>
    <t>PIC Internal</t>
  </si>
  <si>
    <t>Link Brief</t>
  </si>
  <si>
    <t>INT Link</t>
  </si>
  <si>
    <t>EXT Internal</t>
  </si>
  <si>
    <t>Notes</t>
  </si>
  <si>
    <t>July 2025</t>
  </si>
  <si>
    <t xml:space="preserve">Ofero </t>
  </si>
  <si>
    <t>Direct</t>
  </si>
  <si>
    <t>Ofero x PRJ 2025 &amp; Ride &amp; Fest</t>
  </si>
  <si>
    <t>Gerry</t>
  </si>
  <si>
    <t>Finish / Paid</t>
  </si>
  <si>
    <t>Ofere Design Stareer lit3</t>
  </si>
  <si>
    <t>Injourney</t>
  </si>
  <si>
    <t>ITDC - Injourney</t>
  </si>
  <si>
    <t>MotoGP Mandalika 2025</t>
  </si>
  <si>
    <t>XM</t>
  </si>
  <si>
    <t>Agam</t>
  </si>
  <si>
    <t xml:space="preserve">XM Trading </t>
  </si>
  <si>
    <t>Aug 2025</t>
  </si>
  <si>
    <t>Michelin</t>
  </si>
  <si>
    <t>BA for michelin 3 Months</t>
  </si>
  <si>
    <t>Lost</t>
  </si>
  <si>
    <t>Sept 2025</t>
  </si>
  <si>
    <t>Mobil1</t>
  </si>
  <si>
    <t>TBWA</t>
  </si>
  <si>
    <t>Mobil1 Visit Care Car</t>
  </si>
  <si>
    <t>Oct 2025</t>
  </si>
  <si>
    <t>Mattel</t>
  </si>
  <si>
    <t>MBCS</t>
  </si>
  <si>
    <t>Mattel Content Production</t>
  </si>
  <si>
    <t>Fisher Price - Mattel</t>
  </si>
  <si>
    <t>Reco campaign 2026 &amp; Visit Playlab US</t>
  </si>
  <si>
    <t>Affiliate Plan for 2026</t>
  </si>
  <si>
    <t>Ofero Stareer 3 Lit All Black</t>
  </si>
  <si>
    <t>Michelin, BFGoodrich, Corsa</t>
  </si>
  <si>
    <t>Social Media Retainer</t>
  </si>
  <si>
    <t>Blue Band</t>
  </si>
  <si>
    <t>UM IPG</t>
  </si>
  <si>
    <t>Campaign Q1 - Q3 2026</t>
  </si>
  <si>
    <t>Ofero</t>
  </si>
  <si>
    <t>Ofero Stareer 5 lit Launching</t>
  </si>
  <si>
    <t>Invoicing</t>
  </si>
  <si>
    <t>Blueband Dracin</t>
  </si>
  <si>
    <t xml:space="preserve">Nyam Nyam </t>
  </si>
  <si>
    <t>Nyam Nyam Ramadhan</t>
  </si>
  <si>
    <t>Golden Rama Tours</t>
  </si>
  <si>
    <t>Surabaya Campaign</t>
  </si>
  <si>
    <t xml:space="preserve">Le Minerale </t>
  </si>
  <si>
    <t>KOC Le Minerale - LMGG Umroh</t>
  </si>
  <si>
    <t>Won / On Going</t>
  </si>
  <si>
    <t>Ofero Leasing</t>
  </si>
  <si>
    <t>May 2026</t>
  </si>
  <si>
    <t>Arummi</t>
  </si>
  <si>
    <t>Social Media Content UGC</t>
  </si>
  <si>
    <t>Aliy</t>
  </si>
  <si>
    <t>Gimbory</t>
  </si>
  <si>
    <t>Awaiting Feedback</t>
  </si>
  <si>
    <t>Shopee</t>
  </si>
  <si>
    <t>PR Teams - Clippers</t>
  </si>
  <si>
    <t>UM</t>
  </si>
  <si>
    <t>SQ Travel Fair</t>
  </si>
  <si>
    <t>Revision</t>
  </si>
  <si>
    <t>[INT] Golden Rama (SQ Travel Fair) - KOL List</t>
  </si>
  <si>
    <t>[EXT] Golden Rama (SQ Travel Fair) - KOL List - UM - BV</t>
  </si>
  <si>
    <t>Cimory</t>
  </si>
  <si>
    <t>Growmint</t>
  </si>
  <si>
    <t>Cimory Yoghurt</t>
  </si>
  <si>
    <t>GoFood</t>
  </si>
  <si>
    <t>Curve</t>
  </si>
  <si>
    <t>Threads Campaign</t>
  </si>
  <si>
    <t>Wina</t>
  </si>
  <si>
    <t>[BVN Brief KOL] GoFood - Threads - Curve - 2026</t>
  </si>
  <si>
    <t xml:space="preserve">[INT] GoFood - Threads - KOL List </t>
  </si>
  <si>
    <t xml:space="preserve">[EXT] GoFood - Threads - KOL List </t>
  </si>
  <si>
    <t>GoPay</t>
  </si>
  <si>
    <t>Gamers</t>
  </si>
  <si>
    <t>[BVN Brief KOL] GoPay - Gamers - Curve - 2026</t>
  </si>
  <si>
    <t xml:space="preserve">[INT] GoPay (Gamers) - KOL List </t>
  </si>
  <si>
    <t xml:space="preserve">[EXT] GoPay (Gamers) - KOL List </t>
  </si>
  <si>
    <t>FIFA Worldcup’26</t>
  </si>
  <si>
    <t>[BVN Brief KOL] GoPay - Fifa World Cup'26 - Curve - 2026</t>
  </si>
  <si>
    <t xml:space="preserve">[INT] GoPay (FIFA World Cup '26) - KOL List </t>
  </si>
  <si>
    <t xml:space="preserve">[EXT] GoPay (FIFA World Cup '26) - KOL List </t>
  </si>
  <si>
    <t>Sony Pictures</t>
  </si>
  <si>
    <t>Masters of the Universe Int'l Influencer</t>
  </si>
  <si>
    <t>Masters of the Universe Int'l Influencer Timeline [INDONESIA]</t>
  </si>
  <si>
    <t>INT - Masters of the Universe Movie</t>
  </si>
  <si>
    <t xml:space="preserve">[EXT] Masters of the Universe - Sony Pictures - KOL List - BV Network </t>
  </si>
  <si>
    <t>Manfa Indonesia</t>
  </si>
  <si>
    <t>Manfa</t>
  </si>
  <si>
    <t>[BVN Brief KOL] Manfa May 2026</t>
  </si>
  <si>
    <t xml:space="preserve">[INT] Manfa - KOL List </t>
  </si>
  <si>
    <t>[EXT] Manfa - KOL List - BVN</t>
  </si>
  <si>
    <t>Cedea</t>
  </si>
  <si>
    <t>WebTVAsia</t>
  </si>
  <si>
    <t>Cedea Seafood</t>
  </si>
  <si>
    <t>Copy of Brief Brand Deals CEDEA Seafood - Eomuk Bar Ready To Eat</t>
  </si>
  <si>
    <t xml:space="preserve">[INT] Cedea - KOL List </t>
  </si>
  <si>
    <t>Page By Page</t>
  </si>
  <si>
    <t>We Thrive</t>
  </si>
  <si>
    <t>Page By Page Launching</t>
  </si>
  <si>
    <t>[BVN Brief KOL] Page by Page - 2026</t>
  </si>
  <si>
    <t xml:space="preserve">[INT] Page By Page - KOL List - Wethrive </t>
  </si>
  <si>
    <t>BV x We Thrive</t>
  </si>
  <si>
    <t>Vitalis</t>
  </si>
  <si>
    <t xml:space="preserve">WebTV Asia </t>
  </si>
  <si>
    <t>Vitalis ERP 100ml</t>
  </si>
  <si>
    <t>Media Plan</t>
  </si>
  <si>
    <t>Salwa</t>
  </si>
  <si>
    <t>Brief &amp; Guidelines for Wipro [Vitalis EDP Sparkle 100ML].pdf</t>
  </si>
  <si>
    <t xml:space="preserve">[INT] Vitalis - KOL List </t>
  </si>
  <si>
    <t>June 2026</t>
  </si>
  <si>
    <t>Toys Kingdom</t>
  </si>
  <si>
    <t>Toys Kingdom Visit Store</t>
  </si>
  <si>
    <t>Open</t>
  </si>
  <si>
    <t>[BVN Brief KOL] Toys Kingdom - 2026</t>
  </si>
  <si>
    <t xml:space="preserve">[INT] Toys Kingdom - KOL List </t>
  </si>
  <si>
    <t xml:space="preserve">[EXT] Toys Kingdom - KOL List </t>
  </si>
  <si>
    <t>Planet Ban</t>
  </si>
  <si>
    <t>IG Collab</t>
  </si>
  <si>
    <t>[BVN Brief KOL] Planet Ban - IG Collab - 2026</t>
  </si>
  <si>
    <t xml:space="preserve">[INT] Planet Ban - IG Collab - KOL List </t>
  </si>
  <si>
    <t xml:space="preserve">[EXT] Planet Ban - IG Collab - KOL List </t>
  </si>
  <si>
    <t>Grand Opening Store @Pekanbaru</t>
  </si>
  <si>
    <t>[BVN Brief KOL] Planet Ban - Grand Opening Store - 2026</t>
  </si>
  <si>
    <t xml:space="preserve">[INT] Planet Ban - Grand Opening Store @Pekanbaru - KOL List </t>
  </si>
  <si>
    <t xml:space="preserve">[EXT] Planet Ban - Grand Opening Store @Pekanbaru - KOL List </t>
  </si>
  <si>
    <t>Grand Opening Store @Banjarmasin</t>
  </si>
  <si>
    <t xml:space="preserve">[INT] Planet Ban - Grand Opening Store @Banjarmasin - KOL List </t>
  </si>
  <si>
    <t xml:space="preserve">[EXT] Planet Ban - Grand Opening Store @Banjarmasin - KOL List </t>
  </si>
  <si>
    <t>Youtube Podcast X ABG Siniar</t>
  </si>
  <si>
    <t xml:space="preserve">[INT] Planet Ban - Youtube Podcast ABG Siniar - KOL List </t>
  </si>
  <si>
    <t xml:space="preserve">[EXT] Planet Ban - Youtube Podcast ABG Siniar - KOL List </t>
  </si>
  <si>
    <t>Talent Shoot</t>
  </si>
  <si>
    <t>Gress</t>
  </si>
  <si>
    <t>[BVN Brief KOL] Planet Ban - Talent Shoot - 2026</t>
  </si>
  <si>
    <t xml:space="preserve">[INT] Talent Shoot - Planet Ban - List </t>
  </si>
  <si>
    <t xml:space="preserve">[EXT] Talent Shoot - Planet Ban - List </t>
  </si>
  <si>
    <t>UIP Studio</t>
  </si>
  <si>
    <t>Minions Premiere</t>
  </si>
  <si>
    <t>[BVN Brief KOL] - UIP Studio -2026</t>
  </si>
  <si>
    <t>[INT] UIP Studio - Minions - KOL List</t>
  </si>
  <si>
    <t>[EXT] UIP Studio - Minions - KOL List</t>
  </si>
  <si>
    <t>Heineken</t>
  </si>
  <si>
    <t>Fifa World Cup'26</t>
  </si>
  <si>
    <t xml:space="preserve">[INT] Heineken - KOL List </t>
  </si>
  <si>
    <t xml:space="preserve">[EXT] Heineken - KOL List </t>
  </si>
  <si>
    <t>Bintang</t>
  </si>
  <si>
    <t>Bintang Legendary</t>
  </si>
  <si>
    <t xml:space="preserve">[INT] Bintang - Legend - KOL List </t>
  </si>
  <si>
    <t xml:space="preserve">[EXT] Bintang - Legend &amp; BAM - KOL List </t>
  </si>
  <si>
    <t>GoCar</t>
  </si>
  <si>
    <t xml:space="preserve">GoCar Hemat </t>
  </si>
  <si>
    <t>[INT] GoCar Hemat June 2026 - Curve - KOL List</t>
  </si>
  <si>
    <t>[EXT] GoCar Hemat June 2026 - Curve - KOL List</t>
  </si>
  <si>
    <t>GOWEEKEND</t>
  </si>
  <si>
    <t>[INT] GoCar GOWEEKEND June 2026 - Curve - KOL List</t>
  </si>
  <si>
    <t>[EXT] GoCar GOWEEKEND June 2026 - Curve - KOL List</t>
  </si>
  <si>
    <t>GoPay Merch</t>
  </si>
  <si>
    <t>[INT] GoPay Merchant June 2026 - KOL List</t>
  </si>
  <si>
    <t>[EXT] GoPay Merchant June 2026 - KOL List</t>
  </si>
  <si>
    <t>Bintang Anggur Merah</t>
  </si>
  <si>
    <t>BAM 12 Kota</t>
  </si>
  <si>
    <t xml:space="preserve">[INT] Bintang Anggur Merah - Semarang Jogja - KOL List </t>
  </si>
  <si>
    <t>GoPay Cinema Mini App</t>
  </si>
  <si>
    <t xml:space="preserve">[INT] GoPay Cinema Mini App - Threads - KOL List </t>
  </si>
  <si>
    <t>Pizza Hut Indonesia</t>
  </si>
  <si>
    <t>New promo dan Review Menu</t>
  </si>
  <si>
    <t>Sheila</t>
  </si>
  <si>
    <t xml:space="preserve">[INT] Pizza Hut - New promo dan Review Menu - KOL List </t>
  </si>
  <si>
    <t xml:space="preserve">[EXT] Pizza Hut - New promo dan Review Menu - KOL List </t>
  </si>
  <si>
    <t>Campaign_Name</t>
  </si>
  <si>
    <t>Client</t>
  </si>
  <si>
    <t>Brand/Agency</t>
  </si>
  <si>
    <t>Start_Date</t>
  </si>
  <si>
    <t>End_Date</t>
  </si>
  <si>
    <t>Budget Deals_IDR</t>
  </si>
  <si>
    <t>Real Cost_IDR</t>
  </si>
  <si>
    <t>INTERNAL Link</t>
  </si>
  <si>
    <t>EXT Link</t>
  </si>
  <si>
    <t>PIC Clients</t>
  </si>
  <si>
    <t>Entity Names</t>
  </si>
  <si>
    <t>Link Folder</t>
  </si>
  <si>
    <t>Margin</t>
  </si>
  <si>
    <t>Gross Profit_IDR</t>
  </si>
  <si>
    <t>Status Campaign</t>
  </si>
  <si>
    <t>Invoice Date</t>
  </si>
  <si>
    <t>Remarks</t>
  </si>
  <si>
    <t>Ofero PRJ x Ride &amp; Fest</t>
  </si>
  <si>
    <t>Nabillah</t>
  </si>
  <si>
    <t>PT Ofero Technology Indonesia</t>
  </si>
  <si>
    <t xml:space="preserve">Ofero PRJ x Ride &amp; Fest </t>
  </si>
  <si>
    <t>Finish/Paid</t>
  </si>
  <si>
    <t>XM Trading Instagram</t>
  </si>
  <si>
    <t>Freelance</t>
  </si>
  <si>
    <t>XM - Trading July</t>
  </si>
  <si>
    <t>Ofero Design EBike - Starer 3 lit</t>
  </si>
  <si>
    <t xml:space="preserve">Ofero - Design Starrer 3 lit </t>
  </si>
  <si>
    <t>MotoGP 2025 - Injourney</t>
  </si>
  <si>
    <t>ITDC - Injouney</t>
  </si>
  <si>
    <t>Maya</t>
  </si>
  <si>
    <t>PT MGPA NUSANTARA JAYA</t>
  </si>
  <si>
    <t>ITDC - InJourney MotoGp 2025</t>
  </si>
  <si>
    <t>Mobil1 Visit Care Car - Gussbagus</t>
  </si>
  <si>
    <t>Devanka</t>
  </si>
  <si>
    <t>PT Cipta Kreasi Pariwara</t>
  </si>
  <si>
    <t>Mobil1 - Visit Care Car Gussbagus - TBWA</t>
  </si>
  <si>
    <t>Ofero Launching Stareer 5 lit</t>
  </si>
  <si>
    <t>Ofero Stareer 5 Lit - Ofero - Apr'26</t>
  </si>
  <si>
    <t>Report</t>
  </si>
  <si>
    <t>Eca</t>
  </si>
  <si>
    <t>PT Inter Pariwara Global</t>
  </si>
  <si>
    <t>Blue Band - Dracin Campagin - UM IPG - Jan'26</t>
  </si>
  <si>
    <t>Waiting Payment</t>
  </si>
  <si>
    <t>Nyam Nyam</t>
  </si>
  <si>
    <t>Arnott's</t>
  </si>
  <si>
    <t>Feny Listianti</t>
  </si>
  <si>
    <t>PT Anrott's Indonesia</t>
  </si>
  <si>
    <t>Nyam Nyam - Ramadan Campaign Nyambutmudik - Apr'26</t>
  </si>
  <si>
    <t>Le Minerale - LMGG</t>
  </si>
  <si>
    <t>Le Minerale</t>
  </si>
  <si>
    <t>On Going</t>
  </si>
  <si>
    <t>Sasha</t>
  </si>
  <si>
    <t xml:space="preserve">PT Omega </t>
  </si>
  <si>
    <t>Minions &amp; Monster - UIP</t>
  </si>
  <si>
    <t>UIP</t>
  </si>
  <si>
    <t>Planet Ban - Banjarmasin</t>
  </si>
  <si>
    <t>Planet Ban - Pekanbaru</t>
  </si>
  <si>
    <t>Planet Ban - IG Collab</t>
  </si>
  <si>
    <t>Planet Ban - Talent</t>
  </si>
  <si>
    <t>Planet Ban - YT Podcast</t>
  </si>
  <si>
    <t>Month (YYYY-MM)</t>
  </si>
  <si>
    <t>Company_Target_IDR</t>
  </si>
  <si>
    <t>Salesperson</t>
  </si>
  <si>
    <t>Salesperson_Target_IDR</t>
  </si>
  <si>
    <t>2025-10</t>
  </si>
  <si>
    <t>GERRY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</si>
  <si>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</si>
  <si>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</si>
  <si>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</si>
  <si>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</si>
  <si>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</si>
  <si>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</si>
  <si>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</si>
  <si>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</si>
  <si>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</si>
  <si>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Hybrid Sales &amp; Campaign Dashboard (IDR)</t>
  </si>
  <si>
    <t>Selected Month</t>
  </si>
  <si>
    <t>Per Salesperson – Selected Month</t>
  </si>
  <si>
    <t>Target_IDR</t>
  </si>
  <si>
    <t>Won_IDR</t>
  </si>
  <si>
    <t>Variance_IDR</t>
  </si>
  <si>
    <t>Monthly Trend (Targets vs Actual Won)</t>
  </si>
  <si>
    <t>Company Target (IDR)</t>
  </si>
  <si>
    <t>Month</t>
  </si>
  <si>
    <t>Actual_Won_IDR</t>
  </si>
  <si>
    <t>Actual Sales (Won) (IDR)</t>
  </si>
  <si>
    <t>% Achieved</t>
  </si>
  <si>
    <t>Variance (IDR)</t>
  </si>
  <si>
    <t>Open Pipeline Amount (IDR)</t>
  </si>
  <si>
    <t>Open Deals Count</t>
  </si>
  <si>
    <t>Win Rate (Last 90 Days)</t>
  </si>
  <si>
    <t>Avg Sales Cycle (Days, Won)</t>
  </si>
  <si>
    <t>Unique_Salespeople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</si>
</sst>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p]#,##0"/>
    <numFmt numFmtId="165" formatCode="d&quot; &quot;mmm&quot; &quot;yyyy"/>
    <numFmt numFmtId="166" formatCode="[$Rp-421]#,##0"/>
    <numFmt numFmtId="167" formatCode="mmm yyyy"/>
    <numFmt numFmtId="168" formatCode="&quot;IDR&quot; #,##0"/>
    <numFmt numFmtId="169" formatCode="[$IDR]#,##0"/>
    <numFmt numFmtId="170" formatCode="yyyy-m"/>
  </numFmts>
  <fonts count="16">
    <font>
      <sz val="11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sz val="10.0"/>
      <color rgb="FF434343"/>
      <name val="Roboto"/>
    </font>
    <font>
      <b/>
      <sz val="10.0"/>
      <color rgb="FF434343"/>
      <name val="Roboto"/>
    </font>
    <font>
      <u/>
      <sz val="10.0"/>
      <color theme="1"/>
      <name val="Calibri"/>
      <scheme val="minor"/>
    </font>
    <font>
      <u/>
      <sz val="10.0"/>
      <color theme="1"/>
      <name val="Calibri"/>
      <scheme val="minor"/>
    </font>
    <font>
      <u/>
      <sz val="10.0"/>
      <color rgb="FF434343"/>
      <name val="Calibri"/>
      <scheme val="minor"/>
    </font>
    <font>
      <u/>
      <sz val="10.0"/>
      <color rgb="FF0000FF"/>
      <name val="Roboto"/>
    </font>
    <font>
      <sz val="10.0"/>
      <color rgb="FF1F1F1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u/>
      <sz val="10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DDDDD"/>
        <bgColor rgb="FFDDDDDD"/>
      </patternFill>
    </fill>
  </fills>
  <borders count="10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</border>
    <border>
      <left style="thin">
        <color rgb="FF284E3F"/>
      </left>
      <right style="thin">
        <color rgb="FFF6F8F9"/>
      </right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/>
    </xf>
    <xf borderId="0" fillId="0" fontId="2" numFmtId="166" xfId="0" applyAlignment="1" applyFont="1" applyNumberFormat="1">
      <alignment shrinkToFit="0" vertical="center" wrapText="0"/>
    </xf>
    <xf borderId="0" fillId="0" fontId="2" numFmtId="167" xfId="0" applyAlignment="1" applyFont="1" applyNumberFormat="1">
      <alignment horizontal="center" readingOrder="0" shrinkToFit="0" vertical="center" wrapText="0"/>
    </xf>
    <xf borderId="1" fillId="2" fontId="3" numFmtId="167" xfId="0" applyAlignment="1" applyBorder="1" applyFill="1" applyFont="1" applyNumberFormat="1">
      <alignment horizontal="center" readingOrder="0" shrinkToFit="0" vertical="center" wrapText="0"/>
    </xf>
    <xf borderId="2" fillId="3" fontId="3" numFmtId="167" xfId="0" applyAlignment="1" applyBorder="1" applyFill="1" applyFont="1" applyNumberFormat="1">
      <alignment horizontal="center" readingOrder="0" shrinkToFit="0" vertical="center" wrapText="0"/>
    </xf>
    <xf borderId="0" fillId="2" fontId="3" numFmtId="167" xfId="0" applyAlignment="1" applyFont="1" applyNumberFormat="1">
      <alignment horizontal="center" readingOrder="0" shrinkToFit="0" vertical="center" wrapText="0"/>
    </xf>
    <xf borderId="3" fillId="2" fontId="3" numFmtId="167" xfId="0" applyAlignment="1" applyBorder="1" applyFont="1" applyNumberFormat="1">
      <alignment horizontal="center" readingOrder="0" shrinkToFit="0" vertical="center" wrapText="0"/>
    </xf>
    <xf borderId="4" fillId="3" fontId="3" numFmtId="167" xfId="0" applyAlignment="1" applyBorder="1" applyFont="1" applyNumberFormat="1">
      <alignment horizontal="center" readingOrder="0" shrinkToFit="0" vertical="center" wrapText="0"/>
    </xf>
    <xf borderId="4" fillId="4" fontId="4" numFmtId="0" xfId="0" applyAlignment="1" applyBorder="1" applyFill="1" applyFont="1">
      <alignment horizontal="center" readingOrder="0" shrinkToFit="0" vertical="center" wrapText="0"/>
    </xf>
    <xf borderId="0" fillId="4" fontId="2" numFmtId="0" xfId="0" applyAlignment="1" applyFont="1">
      <alignment horizontal="left" readingOrder="0" shrinkToFit="0" vertical="center" wrapText="0"/>
    </xf>
    <xf borderId="0" fillId="4" fontId="2" numFmtId="0" xfId="0" applyAlignment="1" applyFont="1">
      <alignment horizontal="center"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164" xfId="0" applyAlignment="1" applyFont="1" applyNumberFormat="1">
      <alignment readingOrder="0" shrinkToFit="0" vertical="center" wrapText="0"/>
    </xf>
    <xf borderId="0" fillId="4" fontId="2" numFmtId="165" xfId="0" applyAlignment="1" applyFont="1" applyNumberFormat="1">
      <alignment readingOrder="0" shrinkToFit="0" vertical="center" wrapText="0"/>
    </xf>
    <xf borderId="0" fillId="4" fontId="2" numFmtId="166" xfId="0" applyAlignment="1" applyFont="1" applyNumberFormat="1">
      <alignment shrinkToFit="0" vertical="center" wrapText="0"/>
    </xf>
    <xf borderId="0" fillId="4" fontId="2" numFmtId="0" xfId="0" applyAlignment="1" applyFont="1">
      <alignment horizontal="center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right" readingOrder="0" shrinkToFit="0" vertical="center" wrapText="0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3" fontId="3" numFmtId="167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49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wrapText="1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5" fillId="0" fontId="13" numFmtId="0" xfId="0" applyAlignment="1" applyBorder="1" applyFont="1">
      <alignment shrinkToFit="0" vertical="center" wrapText="0"/>
    </xf>
    <xf borderId="5" fillId="0" fontId="13" numFmtId="168" xfId="0" applyAlignment="1" applyBorder="1" applyFont="1" applyNumberFormat="1">
      <alignment readingOrder="0" shrinkToFit="0" vertical="center" wrapText="0"/>
    </xf>
    <xf borderId="5" fillId="0" fontId="13" numFmtId="0" xfId="0" applyAlignment="1" applyBorder="1" applyFont="1">
      <alignment readingOrder="0" shrinkToFit="0" vertical="center" wrapText="0"/>
    </xf>
    <xf borderId="5" fillId="0" fontId="13" numFmtId="169" xfId="0" applyAlignment="1" applyBorder="1" applyFont="1" applyNumberFormat="1">
      <alignment readingOrder="0" shrinkToFit="0" vertical="center" wrapText="0"/>
    </xf>
    <xf borderId="0" fillId="0" fontId="13" numFmtId="168" xfId="0" applyAlignment="1" applyFont="1" applyNumberFormat="1">
      <alignment readingOrder="0" shrinkToFit="0" vertical="center" wrapText="0"/>
    </xf>
    <xf borderId="6" fillId="0" fontId="14" numFmtId="0" xfId="0" applyBorder="1" applyFont="1"/>
    <xf borderId="7" fillId="0" fontId="15" numFmtId="0" xfId="0" applyBorder="1" applyFont="1"/>
    <xf borderId="8" fillId="0" fontId="15" numFmtId="0" xfId="0" applyBorder="1" applyFont="1"/>
    <xf borderId="9" fillId="0" fontId="13" numFmtId="0" xfId="0" applyBorder="1" applyFont="1"/>
    <xf borderId="0" fillId="0" fontId="13" numFmtId="0" xfId="0" applyAlignment="1" applyFont="1">
      <alignment horizontal="left" readingOrder="0" shrinkToFit="0" vertical="center" wrapText="0"/>
    </xf>
    <xf borderId="0" fillId="0" fontId="13" numFmtId="170" xfId="0" applyAlignment="1" applyFont="1" applyNumberFormat="1">
      <alignment horizontal="left" readingOrder="0" shrinkToFit="0" vertical="center" wrapText="0"/>
    </xf>
    <xf borderId="9" fillId="0" fontId="11" numFmtId="0" xfId="0" applyBorder="1" applyFont="1"/>
    <xf borderId="9" fillId="0" fontId="13" numFmtId="0" xfId="0" applyAlignment="1" applyBorder="1" applyFont="1">
      <alignment shrinkToFit="0" vertical="center" wrapText="0"/>
    </xf>
    <xf borderId="9" fillId="5" fontId="11" numFmtId="0" xfId="0" applyBorder="1" applyFill="1" applyFont="1"/>
    <xf borderId="9" fillId="0" fontId="11" numFmtId="0" xfId="0" applyAlignment="1" applyBorder="1" applyFont="1">
      <alignment shrinkToFit="0" vertical="center" wrapText="0"/>
    </xf>
    <xf borderId="9" fillId="0" fontId="11" numFmtId="168" xfId="0" applyAlignment="1" applyBorder="1" applyFont="1" applyNumberFormat="1">
      <alignment shrinkToFit="0" vertical="center" wrapText="0"/>
    </xf>
    <xf borderId="9" fillId="0" fontId="13" numFmtId="168" xfId="0" applyBorder="1" applyFont="1" applyNumberFormat="1"/>
    <xf borderId="9" fillId="5" fontId="11" numFmtId="10" xfId="0" applyBorder="1" applyFont="1" applyNumberFormat="1"/>
    <xf borderId="9" fillId="0" fontId="13" numFmtId="10" xfId="0" applyBorder="1" applyFont="1" applyNumberFormat="1"/>
    <xf borderId="9" fillId="0" fontId="11" numFmtId="10" xfId="0" applyAlignment="1" applyBorder="1" applyFont="1" applyNumberFormat="1">
      <alignment shrinkToFit="0" vertical="center" wrapText="0"/>
    </xf>
    <xf borderId="0" fillId="0" fontId="11" numFmtId="0" xfId="0" applyFont="1"/>
    <xf borderId="0" fillId="0" fontId="10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Pipel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mpaig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puts_Targ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vs Target by Salesperson (Selected Month)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Dashboard!$E$4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Dashboard!$D$5:$D$14</c:f>
            </c:strRef>
          </c:cat>
          <c:val>
            <c:numRef>
              <c:f>Dashboard!$E$5:$E$14</c:f>
              <c:numCache/>
            </c:numRef>
          </c:val>
        </c:ser>
        <c:ser>
          <c:idx val="1"/>
          <c:order val="1"/>
          <c:tx>
            <c:strRef>
              <c:f>Dashboard!$F$4</c:f>
            </c:strRef>
          </c:tx>
          <c:cat>
            <c:strRef>
              <c:f>Dashboard!$D$5:$D$14</c:f>
            </c:strRef>
          </c:cat>
          <c:val>
            <c:numRef>
              <c:f>Dashboard!$F$5:$F$14</c:f>
              <c:numCache/>
            </c:numRef>
          </c:val>
        </c:ser>
        <c:axId val="920840172"/>
        <c:axId val="1735588361"/>
      </c:barChart>
      <c:catAx>
        <c:axId val="920840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Salesperson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5588361"/>
      </c:catAx>
      <c:valAx>
        <c:axId val="1735588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IDR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8401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Trend: Target vs Actual (6 months)</a:t>
            </a:r>
          </a:p>
        </c:rich>
      </c:tx>
      <c:overlay val="0"/>
    </c:title>
    <c:plotArea>
      <c:layout/>
      <c:lineChart>
        <c:axId val="622859964"/>
        <c:axId val="2259176"/>
      </c:lineChart>
      <c:catAx>
        <c:axId val="622859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9176"/>
      </c:catAx>
      <c:valAx>
        <c:axId val="225917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228599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0</xdr:rowOff>
    </xdr:from>
    <xdr:ext cx="7915275" cy="4314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600075</xdr:colOff>
      <xdr:row>14</xdr:row>
      <xdr:rowOff>0</xdr:rowOff>
    </xdr:from>
    <xdr:ext cx="7915275" cy="4314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55" displayName="Pipeline" name="Pipeline" id="1">
  <autoFilter ref="$A$1:$O$55"/>
  <tableColumns count="15">
    <tableColumn name="Months" id="1"/>
    <tableColumn name="Client/Brand" id="2"/>
    <tableColumn name="Brand / Agency" id="3"/>
    <tableColumn name="Campagin Name" id="4"/>
    <tableColumn name="PIC" id="5"/>
    <tableColumn name="Stage/Status" id="6"/>
    <tableColumn name="Amount_IDR" id="7"/>
    <tableColumn name="Created_Date" id="8"/>
    <tableColumn name="Deadline Date" id="9"/>
    <tableColumn name="Amount_Deals" id="10"/>
    <tableColumn name="PIC Internal" id="11"/>
    <tableColumn name="Link Brief" id="12"/>
    <tableColumn name="INT Link" id="13"/>
    <tableColumn name="EXT Internal" id="14"/>
    <tableColumn name="Notes" id="15"/>
  </tableColumns>
  <tableStyleInfo name="Pipeline-style" showColumnStripes="0" showFirstColumn="1" showLastColumn="1" showRowStripes="1"/>
</table>
</file>

<file path=xl/tables/table2.xml><?xml version="1.0" encoding="utf-8"?>
<table xmlns="http://schemas.openxmlformats.org/spreadsheetml/2006/main" ref="A1:R26" displayName="DEALS" name="DEALS" id="2">
  <tableColumns count="18">
    <tableColumn name="Campaign_Name" id="1"/>
    <tableColumn name="Client" id="2"/>
    <tableColumn name="Brand/Agency" id="3"/>
    <tableColumn name="PIC" id="4"/>
    <tableColumn name="Start_Date" id="5"/>
    <tableColumn name="End_Date" id="6"/>
    <tableColumn name="Budget Deals_IDR" id="7"/>
    <tableColumn name="Real Cost_IDR" id="8"/>
    <tableColumn name="INTERNAL Link" id="9"/>
    <tableColumn name="EXT Link" id="10"/>
    <tableColumn name="PIC Clients" id="11"/>
    <tableColumn name="Entity Names" id="12"/>
    <tableColumn name="Link Folder" id="13"/>
    <tableColumn name="Margin" id="14"/>
    <tableColumn name="Gross Profit_IDR" id="15"/>
    <tableColumn name="Status Campaign" id="16"/>
    <tableColumn name="Invoice Date" id="17"/>
    <tableColumn name="Remarks" id="18"/>
  </tableColumns>
  <tableStyleInfo name="Campaigns-style" showColumnStripes="0" showFirstColumn="1" showLastColumn="1" showRowStripes="1"/>
</table>
</file>

<file path=xl/tables/table3.xml><?xml version="1.0" encoding="utf-8"?>
<table xmlns="http://schemas.openxmlformats.org/spreadsheetml/2006/main" ref="A1:D21" displayName="Table1" name="Table1" id="3">
  <tableColumns count="4">
    <tableColumn name="Month (YYYY-MM)" id="1"/>
    <tableColumn name="Company_Target_IDR" id="2"/>
    <tableColumn name="Salesperson" id="3"/>
    <tableColumn name="Salesperson_Target_IDR" id="4"/>
  </tableColumns>
  <tableStyleInfo name="Inputs_Targets-style" showColumnStripes="0" showFirstColumn="1" showLastColumn="1" showRowStripes="1"/>
</table>
</file>

<file path=xl/tables/table4.xml><?xml version="1.0" encoding="utf-8"?>
<table xmlns="http://schemas.openxmlformats.org/spreadsheetml/2006/main" ref="A3:B12" displayName="Table4" name="Table4" id="4">
  <tableColumns count="2">
    <tableColumn name="Selected Month" id="1"/>
    <tableColumn name="2025-10" id="2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FVv9PCo93T6DJuFRwkIkEqRWxYyuQQNM8lnDbGB-yQg/edit?usp=sharing" TargetMode="External"/><Relationship Id="rId42" Type="http://schemas.openxmlformats.org/officeDocument/2006/relationships/hyperlink" Target="https://docs.google.com/document/d/1cVwOXUS5dtRukE-dgiWtxprIdQyrSbAiHm97lFHZQHk/edit?usp=sharing" TargetMode="External"/><Relationship Id="rId41" Type="http://schemas.openxmlformats.org/officeDocument/2006/relationships/hyperlink" Target="https://docs.google.com/spreadsheets/d/1PrCCWxxuZ7BGCl87cSH8bp7BC6Asz8HwX15LTs998ng/edit?usp=sharing" TargetMode="External"/><Relationship Id="rId44" Type="http://schemas.openxmlformats.org/officeDocument/2006/relationships/hyperlink" Target="https://docs.google.com/spreadsheets/u/0/d/1KhVWMvnlIF2R4QPy2WRPvM4HNskuzZu3LYkRrgYM3fU/edit" TargetMode="External"/><Relationship Id="rId43" Type="http://schemas.openxmlformats.org/officeDocument/2006/relationships/hyperlink" Target="https://docs.google.com/spreadsheets/u/0/d/1NlnbejrD981a74WBQl4k3zYTpcu1R0npwruv2GwZv0A/edit" TargetMode="External"/><Relationship Id="rId46" Type="http://schemas.openxmlformats.org/officeDocument/2006/relationships/hyperlink" Target="https://docs.google.com/spreadsheets/d/186ParXrCDgu9WrQ8IgK2XyI8GY0SxnOyiJlsprYwgGU/edit?gid=449523285" TargetMode="External"/><Relationship Id="rId45" Type="http://schemas.openxmlformats.org/officeDocument/2006/relationships/hyperlink" Target="https://docs.google.com/spreadsheets/u/0/d/1JPdUrKXWex7VXTuGQ38Yt48gko-h4MsjNh_NERshpm8/edit" TargetMode="External"/><Relationship Id="rId1" Type="http://schemas.openxmlformats.org/officeDocument/2006/relationships/hyperlink" Target="https://docs.google.com/spreadsheets/d/1utvpZ4zvsQZpbAqCEP7sVAO96F_38SpNjSwB_YiJmG8/edit?usp=sharing" TargetMode="External"/><Relationship Id="rId2" Type="http://schemas.openxmlformats.org/officeDocument/2006/relationships/hyperlink" Target="https://docs.google.com/spreadsheets/d/1ZcoiMDKjZ7NjLm6Bsi67EasbvRveDCN5fiP-9Uu4C-o/edit?usp=sharing" TargetMode="External"/><Relationship Id="rId3" Type="http://schemas.openxmlformats.org/officeDocument/2006/relationships/hyperlink" Target="https://docs.google.com/document/d/14g8pUQzxWRlk7qknwBUeDjlGFKp9OjIk0oXNsDCKo54/edit?usp=sharing" TargetMode="External"/><Relationship Id="rId4" Type="http://schemas.openxmlformats.org/officeDocument/2006/relationships/hyperlink" Target="https://docs.google.com/spreadsheets/d/16S2Jdgz-a5CIliDZ8ILFa6ys7BQO9_VY7eYefjWr5fc/edit?gid=889297787" TargetMode="External"/><Relationship Id="rId9" Type="http://schemas.openxmlformats.org/officeDocument/2006/relationships/hyperlink" Target="https://docs.google.com/document/d/1NLP_XlrMkg0cztjcD_hVJsM6y6OpBfhzbhUqB7L01Zo/edit?usp=sharing" TargetMode="External"/><Relationship Id="rId48" Type="http://schemas.openxmlformats.org/officeDocument/2006/relationships/hyperlink" Target="https://docs.google.com/spreadsheets/d/1W0rkSpg7eNiyiDMsJlXzrcSpulTZGOKo9TJEgAnsgUU/edit?usp=sharing" TargetMode="External"/><Relationship Id="rId47" Type="http://schemas.openxmlformats.org/officeDocument/2006/relationships/hyperlink" Target="https://docs.google.com/spreadsheets/u/0/d/15gWaxoMIj8CVW0aXFIbZ7iqobwUmcn-QkYhse5THkTQ/edit" TargetMode="External"/><Relationship Id="rId49" Type="http://schemas.openxmlformats.org/officeDocument/2006/relationships/hyperlink" Target="https://docs.google.com/spreadsheets/u/0/d/1fzr3V9m5ko9JMfoB6iaM6UoCyAtdT6HPqFiHwYsfmvY/edit" TargetMode="External"/><Relationship Id="rId5" Type="http://schemas.openxmlformats.org/officeDocument/2006/relationships/hyperlink" Target="https://docs.google.com/spreadsheets/u/0/d/1w89mo2hZhsYhW2WKc4zt2Gckl7GHDC1_Y4W9iBBkqUo/edit" TargetMode="External"/><Relationship Id="rId6" Type="http://schemas.openxmlformats.org/officeDocument/2006/relationships/hyperlink" Target="https://docs.google.com/document/d/1awvr5uIg3EikKzeoEHLaAAHpeVu9icivpo67o4laJao/edit?usp=sharing" TargetMode="External"/><Relationship Id="rId7" Type="http://schemas.openxmlformats.org/officeDocument/2006/relationships/hyperlink" Target="https://docs.google.com/spreadsheets/u/0/d/1kIaFS9MlUzA0HuwSftvzMgpTYwfY12ISnjiTVJ0PRPI/edit" TargetMode="External"/><Relationship Id="rId8" Type="http://schemas.openxmlformats.org/officeDocument/2006/relationships/hyperlink" Target="https://docs.google.com/spreadsheets/u/0/d/1x0EZ9H-cwHsmNwY8AadJSa8GK0WGmI_bPPlWmTEuG74/edit" TargetMode="External"/><Relationship Id="rId31" Type="http://schemas.openxmlformats.org/officeDocument/2006/relationships/hyperlink" Target="https://docs.google.com/document/u/0/d/1rB0ufwKZe_XGWQrZyfOrsIbzNdqDevIsekPUjFFXP1s/edit" TargetMode="External"/><Relationship Id="rId30" Type="http://schemas.openxmlformats.org/officeDocument/2006/relationships/hyperlink" Target="https://docs.google.com/spreadsheets/u/0/d/1tkRpkjUrL2R1zfVTGQuZdGfGNDBXkT-42M8-gJ-ha4A/edit" TargetMode="External"/><Relationship Id="rId33" Type="http://schemas.openxmlformats.org/officeDocument/2006/relationships/hyperlink" Target="https://docs.google.com/spreadsheets/u/0/d/1KNTwdkGGj21eTOb6yFXJ2_i_CuphyYWKlcrSV8dJOWU/edit" TargetMode="External"/><Relationship Id="rId32" Type="http://schemas.openxmlformats.org/officeDocument/2006/relationships/hyperlink" Target="https://docs.google.com/spreadsheets/u/0/d/1hy2RelNhTJSJyE8sf2ELaA5ZXKbNGe83ZoPi9PzCicQ/edit" TargetMode="External"/><Relationship Id="rId35" Type="http://schemas.openxmlformats.org/officeDocument/2006/relationships/hyperlink" Target="https://docs.google.com/spreadsheets/d/1Ms2Yf2CorEwe3ni-EZlh1362XUoLatejdoouxEsUzrI/edit?usp=sharing" TargetMode="External"/><Relationship Id="rId34" Type="http://schemas.openxmlformats.org/officeDocument/2006/relationships/hyperlink" Target="https://docs.google.com/document/u/0/d/1rB0ufwKZe_XGWQrZyfOrsIbzNdqDevIsekPUjFFXP1s/edit" TargetMode="External"/><Relationship Id="rId37" Type="http://schemas.openxmlformats.org/officeDocument/2006/relationships/hyperlink" Target="https://docs.google.com/spreadsheets/u/0/d/1JDqEr2U_9hFkbt1V39D_yJTE3UouU4CCAmlbd9HGh9s/edit" TargetMode="External"/><Relationship Id="rId36" Type="http://schemas.openxmlformats.org/officeDocument/2006/relationships/hyperlink" Target="https://docs.google.com/spreadsheets/u/0/d/1_FNazkWd1_iz2kXYcMzJ8ls1_vxzYF4-24l9ohrvXa8/edit" TargetMode="External"/><Relationship Id="rId39" Type="http://schemas.openxmlformats.org/officeDocument/2006/relationships/hyperlink" Target="https://docs.google.com/document/u/0/d/1zJ83G0lmallZRK-rhGDGr82lalJlJChy6M5G-ZuXUQw/edit" TargetMode="External"/><Relationship Id="rId38" Type="http://schemas.openxmlformats.org/officeDocument/2006/relationships/hyperlink" Target="https://docs.google.com/spreadsheets/u/0/d/1U7jnYMFVAVIru4lB0VcStbgw2V3HylIGQVRgnIXqhBk/edit" TargetMode="External"/><Relationship Id="rId62" Type="http://schemas.openxmlformats.org/officeDocument/2006/relationships/table" Target="../tables/table1.xml"/><Relationship Id="rId20" Type="http://schemas.openxmlformats.org/officeDocument/2006/relationships/hyperlink" Target="https://docs.google.com/document/d/1MPRG6qrXa1p3uwU4Z0nXsk7G0gcVZ6c-i_irYFX9nnU/edit?usp=drive_link" TargetMode="External"/><Relationship Id="rId22" Type="http://schemas.openxmlformats.org/officeDocument/2006/relationships/hyperlink" Target="https://docs.google.com/spreadsheets/u/0/d/14EnpetTvdpYuPmBEBNZn0m1EnWPLq0mROU7XrpDcUGY/edit" TargetMode="External"/><Relationship Id="rId21" Type="http://schemas.openxmlformats.org/officeDocument/2006/relationships/hyperlink" Target="https://docs.google.com/spreadsheets/u/0/d/1YQ2AJEwcgPzJ0D-dAma6Ipu5zZ1SfKfDnHbHVKuWHiQ/edit" TargetMode="External"/><Relationship Id="rId24" Type="http://schemas.openxmlformats.org/officeDocument/2006/relationships/hyperlink" Target="https://docs.google.com/spreadsheets/u/0/d/1vig4VTCzh7ylv-xiy97a4si5aVWJy37ZrbKW0699b5k/edit" TargetMode="External"/><Relationship Id="rId23" Type="http://schemas.openxmlformats.org/officeDocument/2006/relationships/hyperlink" Target="https://drive.google.com/open?id=1nLDPK8WNJ0-cMsVqWWBUe_tSwClYjYwT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docs.google.com/spreadsheets/d/1xyzpwRCj157FZ9fvqS1MQuMmHLqN01D_rxWJEP_o9zk/edit?usp=sharing" TargetMode="External"/><Relationship Id="rId25" Type="http://schemas.openxmlformats.org/officeDocument/2006/relationships/hyperlink" Target="https://docs.google.com/document/u/0/d/1MJ2Sa2JHPd_s_SqpP1jyiRqgsL065-si8qW-ykhuDGo/edit" TargetMode="External"/><Relationship Id="rId28" Type="http://schemas.openxmlformats.org/officeDocument/2006/relationships/hyperlink" Target="https://docs.google.com/document/u/0/d/1VigWclbRnaDG7i8VI23AKaRxGNrUta0GIyf16y1xZUw/edit" TargetMode="External"/><Relationship Id="rId27" Type="http://schemas.openxmlformats.org/officeDocument/2006/relationships/hyperlink" Target="https://docs.google.com/spreadsheets/d/1hpPI_L2MnxKnup9fpxf0jQoPCbNABs74CyuJgGuUovg/edit?usp=sharing" TargetMode="External"/><Relationship Id="rId29" Type="http://schemas.openxmlformats.org/officeDocument/2006/relationships/hyperlink" Target="https://docs.google.com/spreadsheets/u/0/d/18KiKB1INKfkRanP__lDO2saM0szoIE7ElxgZ8N5iu3U/edit" TargetMode="External"/><Relationship Id="rId51" Type="http://schemas.openxmlformats.org/officeDocument/2006/relationships/hyperlink" Target="https://docs.google.com/spreadsheets/u/0/d/1xhbJHzVIdjSomN6HyxdrkfCxtzjuQO_QGbJ0cOvEv2o/edit" TargetMode="External"/><Relationship Id="rId50" Type="http://schemas.openxmlformats.org/officeDocument/2006/relationships/hyperlink" Target="https://docs.google.com/spreadsheets/d/1-pNZJubJQBRmZjiJlAUd6_eC7SesHhuMHgUOXowV-sI/edit?usp=sharing" TargetMode="External"/><Relationship Id="rId53" Type="http://schemas.openxmlformats.org/officeDocument/2006/relationships/hyperlink" Target="https://docs.google.com/spreadsheets/u/0/d/1UvCK9Ic9a1d9N_NPfXiKkPVYtViPLnSJumzCmDeAZ_g/edit" TargetMode="External"/><Relationship Id="rId52" Type="http://schemas.openxmlformats.org/officeDocument/2006/relationships/hyperlink" Target="https://docs.google.com/spreadsheets/d/1YkK9VGg_S_qCXQJ0vEwqkAg_gF33LeOOA4sUN3b1WYo/edit?usp=sharing" TargetMode="External"/><Relationship Id="rId11" Type="http://schemas.openxmlformats.org/officeDocument/2006/relationships/hyperlink" Target="https://docs.google.com/spreadsheets/d/1w5iy7fPMwwOv1uCQHG_LKIjdgNvkV3FJy0YwkMWSnFg/edit?usp=sharing" TargetMode="External"/><Relationship Id="rId55" Type="http://schemas.openxmlformats.org/officeDocument/2006/relationships/hyperlink" Target="https://docs.google.com/spreadsheets/u/0/d/1-XL69E6YrnX-xArWeJRA2UyvKDDloPuEkhbl2pBRIqo/edit" TargetMode="External"/><Relationship Id="rId10" Type="http://schemas.openxmlformats.org/officeDocument/2006/relationships/hyperlink" Target="https://docs.google.com/spreadsheets/d/1-IR1j6bWmrj4BnP4xsRCRTHt2o6LeFR2-etsoeNz-2Y/edit?usp=sharing" TargetMode="External"/><Relationship Id="rId54" Type="http://schemas.openxmlformats.org/officeDocument/2006/relationships/hyperlink" Target="https://docs.google.com/spreadsheets/d/1955hy1ek4PpTi1SoG0XiQd6m7WdYAFhf3NjijEJQVBI/edit?usp=sharing" TargetMode="External"/><Relationship Id="rId13" Type="http://schemas.openxmlformats.org/officeDocument/2006/relationships/hyperlink" Target="https://docs.google.com/spreadsheets/u/0/d/1v7yb4Pgku9A7OZXLu5FyIjdwH6AdkTqF79cqxcZUmL0/edit" TargetMode="External"/><Relationship Id="rId57" Type="http://schemas.openxmlformats.org/officeDocument/2006/relationships/hyperlink" Target="https://docs.google.com/spreadsheets/u/0/d/1WFdDzBTFnqZlLVkWcbahwVb4-QHIu9En-OiHsuVuHWA/edit" TargetMode="External"/><Relationship Id="rId12" Type="http://schemas.openxmlformats.org/officeDocument/2006/relationships/hyperlink" Target="https://docs.google.com/document/d/1EARSrocu3PX6ZsiTp7kC2eU1izNPNXhbsDJtQfXh_b8/edit?usp=drive_link" TargetMode="External"/><Relationship Id="rId56" Type="http://schemas.openxmlformats.org/officeDocument/2006/relationships/hyperlink" Target="https://docs.google.com/spreadsheets/d/1W0rkSpg7eNiyiDMsJlXzrcSpulTZGOKo9TJEgAnsgUU/edit?usp=sharing" TargetMode="External"/><Relationship Id="rId15" Type="http://schemas.openxmlformats.org/officeDocument/2006/relationships/hyperlink" Target="https://docs.google.com/document/d/1cTnm8QYc7z31-_qIwtW6NQeNWHaewYHi17jF2cOqVSI/edit?usp=sharing" TargetMode="External"/><Relationship Id="rId59" Type="http://schemas.openxmlformats.org/officeDocument/2006/relationships/hyperlink" Target="https://docs.google.com/spreadsheets/d/1yRh9od_B-T5emHJx_08XTGPFIytpSAub2z9dUoEWAbE/edit?usp=sharing" TargetMode="External"/><Relationship Id="rId14" Type="http://schemas.openxmlformats.org/officeDocument/2006/relationships/hyperlink" Target="https://docs.google.com/spreadsheets/u/0/d/1hOkWDC886Vd6kUcW2IbYL33oTALm9N4QuAgDD1at0Eo/edit" TargetMode="External"/><Relationship Id="rId58" Type="http://schemas.openxmlformats.org/officeDocument/2006/relationships/hyperlink" Target="https://docs.google.com/spreadsheets/u/0/d/1EzsKS_LKVF5IgJVDCAUSVTxmOqijCF_SSn5bHgPdoL0/edit" TargetMode="External"/><Relationship Id="rId17" Type="http://schemas.openxmlformats.org/officeDocument/2006/relationships/hyperlink" Target="https://docs.google.com/spreadsheets/d/1hv6f2jaHxkcVdvwg65j3TNecc14IayM7y7ylKigVHeo/edit?usp=sharing" TargetMode="External"/><Relationship Id="rId16" Type="http://schemas.openxmlformats.org/officeDocument/2006/relationships/hyperlink" Target="https://docs.google.com/spreadsheets/d/1U4E9sZwcBHCGwh-poKjKZ6vt_8HVFYyQO5st4YXx9y4/edit?usp=sharing" TargetMode="External"/><Relationship Id="rId19" Type="http://schemas.openxmlformats.org/officeDocument/2006/relationships/hyperlink" Target="https://docs.google.com/spreadsheets/d/1UH8OTdUsFl-ZQewGOcBtD1YijhoJqsacixXaRq9l8h4/edit?usp=sharing" TargetMode="External"/><Relationship Id="rId18" Type="http://schemas.openxmlformats.org/officeDocument/2006/relationships/hyperlink" Target="https://docs.google.com/document/d/1yaR2GRRhsdpEFZDWojThV8ZTtLDq3Fuq0T6CQI7iGNA/edit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BxoSyWarK4D8B3HJlCChCRZbaKgFvbjJ" TargetMode="External"/><Relationship Id="rId2" Type="http://schemas.openxmlformats.org/officeDocument/2006/relationships/hyperlink" Target="https://drive.google.com/drive/u/0/folders/1Gri8pZpT6XUDoeTmMo1gdT_qCvny_uq3" TargetMode="External"/><Relationship Id="rId3" Type="http://schemas.openxmlformats.org/officeDocument/2006/relationships/hyperlink" Target="https://drive.google.com/drive/u/0/folders/1ZPFMAtjhbyrgaegePHM3JR6SGLp34yg0" TargetMode="External"/><Relationship Id="rId4" Type="http://schemas.openxmlformats.org/officeDocument/2006/relationships/hyperlink" Target="https://drive.google.com/drive/u/0/folders/1nrX_tmJRCUpy4B6EmcHqfGnpmXv9BDiD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rive.google.com/drive/u/0/folders/1wDovuVHnAb4AgDezF0Xj4yD_4LWQY1gM" TargetMode="External"/><Relationship Id="rId6" Type="http://schemas.openxmlformats.org/officeDocument/2006/relationships/hyperlink" Target="https://drive.google.com/drive/folders/1-iVZ4CZcI9b5XQzHly5J3R9_EU7oO88Q" TargetMode="External"/><Relationship Id="rId7" Type="http://schemas.openxmlformats.org/officeDocument/2006/relationships/hyperlink" Target="https://drive.google.com/drive/folders/1Anc415JMVOchXSj4Imcc7khn8yP7b-Bh" TargetMode="External"/><Relationship Id="rId8" Type="http://schemas.openxmlformats.org/officeDocument/2006/relationships/hyperlink" Target="https://drive.google.com/drive/folders/1eyMOwvXf4KaaIJoBz8PudJRNXQ1as_YC" TargetMode="External"/><Relationship Id="rId11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71"/>
    <col customWidth="1" min="2" max="2" width="26.29"/>
    <col customWidth="1" min="3" max="3" width="18.43"/>
    <col customWidth="1" min="4" max="4" width="47.0"/>
    <col customWidth="1" min="5" max="5" width="12.43"/>
    <col customWidth="1" min="6" max="6" width="23.71"/>
    <col customWidth="1" min="7" max="7" width="24.0"/>
    <col customWidth="1" min="8" max="8" width="23.43"/>
    <col customWidth="1" min="9" max="9" width="20.0"/>
    <col customWidth="1" min="10" max="10" width="24.0"/>
    <col customWidth="1" min="11" max="14" width="23.0"/>
    <col customWidth="1" min="15" max="15" width="24.0"/>
    <col customWidth="1" min="16" max="31" width="8.71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22.5" customHeight="1">
      <c r="A2" s="4" t="s">
        <v>15</v>
      </c>
      <c r="B2" s="5" t="s">
        <v>16</v>
      </c>
      <c r="C2" s="4" t="s">
        <v>17</v>
      </c>
      <c r="D2" s="5" t="s">
        <v>18</v>
      </c>
      <c r="E2" s="4" t="s">
        <v>19</v>
      </c>
      <c r="F2" s="6" t="s">
        <v>20</v>
      </c>
      <c r="G2" s="7">
        <v>5.0E8</v>
      </c>
      <c r="H2" s="8">
        <v>45839.0</v>
      </c>
      <c r="I2" s="8">
        <v>45839.0</v>
      </c>
      <c r="J2" s="9">
        <v>5.08E8</v>
      </c>
      <c r="K2" s="10"/>
      <c r="L2" s="10"/>
      <c r="M2" s="10"/>
      <c r="N2" s="10"/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ht="22.5" customHeight="1">
      <c r="A3" s="4" t="s">
        <v>15</v>
      </c>
      <c r="B3" s="5" t="s">
        <v>16</v>
      </c>
      <c r="C3" s="4" t="s">
        <v>17</v>
      </c>
      <c r="D3" s="5" t="s">
        <v>21</v>
      </c>
      <c r="E3" s="4" t="s">
        <v>19</v>
      </c>
      <c r="F3" s="6" t="s">
        <v>20</v>
      </c>
      <c r="G3" s="7">
        <v>2.5E8</v>
      </c>
      <c r="H3" s="8">
        <v>45870.0</v>
      </c>
      <c r="I3" s="8">
        <v>45874.0</v>
      </c>
      <c r="J3" s="9">
        <v>1.01540816E8</v>
      </c>
      <c r="K3" s="10"/>
      <c r="L3" s="10"/>
      <c r="M3" s="10"/>
      <c r="N3" s="10"/>
      <c r="O3" s="10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ht="22.5" customHeight="1">
      <c r="A4" s="4" t="s">
        <v>15</v>
      </c>
      <c r="B4" s="5" t="s">
        <v>22</v>
      </c>
      <c r="C4" s="4" t="s">
        <v>23</v>
      </c>
      <c r="D4" s="5" t="s">
        <v>24</v>
      </c>
      <c r="E4" s="4" t="s">
        <v>19</v>
      </c>
      <c r="F4" s="6" t="s">
        <v>20</v>
      </c>
      <c r="G4" s="7">
        <v>8.0E8</v>
      </c>
      <c r="H4" s="8">
        <v>45870.0</v>
      </c>
      <c r="I4" s="8">
        <v>45874.0</v>
      </c>
      <c r="J4" s="9">
        <v>3.5581E8</v>
      </c>
      <c r="K4" s="10"/>
      <c r="L4" s="10"/>
      <c r="M4" s="10"/>
      <c r="N4" s="10"/>
      <c r="O4" s="10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ht="22.5" customHeight="1">
      <c r="A5" s="4" t="s">
        <v>15</v>
      </c>
      <c r="B5" s="5" t="s">
        <v>25</v>
      </c>
      <c r="C5" s="4" t="s">
        <v>26</v>
      </c>
      <c r="D5" s="5" t="s">
        <v>27</v>
      </c>
      <c r="E5" s="4" t="s">
        <v>19</v>
      </c>
      <c r="F5" s="6" t="s">
        <v>20</v>
      </c>
      <c r="G5" s="7">
        <v>5.0E7</v>
      </c>
      <c r="H5" s="8">
        <v>45839.0</v>
      </c>
      <c r="I5" s="8">
        <v>45839.0</v>
      </c>
      <c r="J5" s="9">
        <v>2.375E7</v>
      </c>
      <c r="K5" s="10"/>
      <c r="L5" s="10"/>
      <c r="M5" s="10"/>
      <c r="N5" s="10"/>
      <c r="O5" s="10"/>
    </row>
    <row r="6" ht="22.5" customHeight="1">
      <c r="A6" s="4" t="s">
        <v>28</v>
      </c>
      <c r="B6" s="5" t="s">
        <v>29</v>
      </c>
      <c r="C6" s="4" t="s">
        <v>17</v>
      </c>
      <c r="D6" s="5" t="s">
        <v>30</v>
      </c>
      <c r="E6" s="4" t="s">
        <v>19</v>
      </c>
      <c r="F6" s="6" t="s">
        <v>31</v>
      </c>
      <c r="G6" s="7">
        <v>2.5E8</v>
      </c>
      <c r="H6" s="8">
        <v>45870.0</v>
      </c>
      <c r="I6" s="8">
        <v>45880.0</v>
      </c>
      <c r="J6" s="12"/>
      <c r="K6" s="10"/>
      <c r="L6" s="10"/>
      <c r="M6" s="10"/>
      <c r="N6" s="10"/>
      <c r="O6" s="10"/>
    </row>
    <row r="7" ht="22.5" customHeight="1">
      <c r="A7" s="4" t="s">
        <v>32</v>
      </c>
      <c r="B7" s="5" t="s">
        <v>33</v>
      </c>
      <c r="C7" s="4" t="s">
        <v>34</v>
      </c>
      <c r="D7" s="5" t="s">
        <v>35</v>
      </c>
      <c r="E7" s="4" t="s">
        <v>19</v>
      </c>
      <c r="F7" s="6" t="s">
        <v>20</v>
      </c>
      <c r="G7" s="7">
        <v>6000000.0</v>
      </c>
      <c r="H7" s="8">
        <v>45901.0</v>
      </c>
      <c r="I7" s="8">
        <v>45905.0</v>
      </c>
      <c r="J7" s="9">
        <v>6000000.0</v>
      </c>
      <c r="K7" s="10"/>
      <c r="L7" s="10"/>
      <c r="M7" s="10"/>
      <c r="N7" s="10"/>
      <c r="O7" s="10"/>
    </row>
    <row r="8" ht="22.5" customHeight="1">
      <c r="A8" s="4" t="s">
        <v>36</v>
      </c>
      <c r="B8" s="5" t="s">
        <v>37</v>
      </c>
      <c r="C8" s="4" t="s">
        <v>38</v>
      </c>
      <c r="D8" s="5" t="s">
        <v>39</v>
      </c>
      <c r="E8" s="4" t="s">
        <v>19</v>
      </c>
      <c r="F8" s="6" t="s">
        <v>31</v>
      </c>
      <c r="G8" s="7">
        <v>1.5E7</v>
      </c>
      <c r="H8" s="8">
        <v>45944.0</v>
      </c>
      <c r="I8" s="8">
        <v>45957.0</v>
      </c>
      <c r="J8" s="12"/>
      <c r="K8" s="10"/>
      <c r="L8" s="10"/>
      <c r="M8" s="10"/>
      <c r="N8" s="10"/>
      <c r="O8" s="10"/>
    </row>
    <row r="9" ht="22.5" customHeight="1">
      <c r="A9" s="4" t="s">
        <v>36</v>
      </c>
      <c r="B9" s="5" t="s">
        <v>40</v>
      </c>
      <c r="C9" s="4" t="s">
        <v>38</v>
      </c>
      <c r="D9" s="5" t="s">
        <v>41</v>
      </c>
      <c r="E9" s="4" t="s">
        <v>19</v>
      </c>
      <c r="F9" s="6" t="s">
        <v>31</v>
      </c>
      <c r="G9" s="7">
        <v>4.5E9</v>
      </c>
      <c r="H9" s="8">
        <v>45944.0</v>
      </c>
      <c r="I9" s="8">
        <v>45952.0</v>
      </c>
      <c r="J9" s="12"/>
      <c r="K9" s="10"/>
      <c r="L9" s="10"/>
      <c r="M9" s="10"/>
      <c r="N9" s="10"/>
      <c r="O9" s="10"/>
    </row>
    <row r="10" ht="22.5" customHeight="1">
      <c r="A10" s="4" t="s">
        <v>36</v>
      </c>
      <c r="B10" s="5" t="s">
        <v>40</v>
      </c>
      <c r="C10" s="4" t="s">
        <v>38</v>
      </c>
      <c r="D10" s="5" t="s">
        <v>42</v>
      </c>
      <c r="E10" s="4" t="s">
        <v>19</v>
      </c>
      <c r="F10" s="6" t="s">
        <v>31</v>
      </c>
      <c r="G10" s="7">
        <v>1.5E8</v>
      </c>
      <c r="H10" s="8">
        <v>45944.0</v>
      </c>
      <c r="I10" s="8">
        <v>45957.0</v>
      </c>
      <c r="J10" s="12"/>
      <c r="K10" s="10"/>
      <c r="L10" s="10"/>
      <c r="M10" s="10"/>
      <c r="N10" s="10"/>
      <c r="O10" s="10"/>
    </row>
    <row r="11" ht="22.5" customHeight="1">
      <c r="A11" s="4" t="s">
        <v>36</v>
      </c>
      <c r="B11" s="5" t="s">
        <v>16</v>
      </c>
      <c r="C11" s="4" t="s">
        <v>17</v>
      </c>
      <c r="D11" s="5" t="s">
        <v>43</v>
      </c>
      <c r="E11" s="4" t="s">
        <v>19</v>
      </c>
      <c r="F11" s="6" t="s">
        <v>20</v>
      </c>
      <c r="G11" s="7">
        <v>2.0E7</v>
      </c>
      <c r="H11" s="8">
        <v>45958.0</v>
      </c>
      <c r="I11" s="8">
        <v>45961.0</v>
      </c>
      <c r="J11" s="12"/>
      <c r="K11" s="10"/>
      <c r="L11" s="10"/>
      <c r="M11" s="10"/>
      <c r="N11" s="10"/>
      <c r="O11" s="10"/>
    </row>
    <row r="12" ht="22.5" customHeight="1">
      <c r="A12" s="13">
        <v>45962.0</v>
      </c>
      <c r="B12" s="5" t="s">
        <v>44</v>
      </c>
      <c r="C12" s="4" t="s">
        <v>17</v>
      </c>
      <c r="D12" s="5" t="s">
        <v>45</v>
      </c>
      <c r="E12" s="4" t="s">
        <v>19</v>
      </c>
      <c r="F12" s="6" t="s">
        <v>31</v>
      </c>
      <c r="G12" s="7">
        <v>1.0E9</v>
      </c>
      <c r="H12" s="8">
        <v>45960.0</v>
      </c>
      <c r="I12" s="8">
        <v>45974.0</v>
      </c>
      <c r="J12" s="12"/>
      <c r="K12" s="10"/>
      <c r="L12" s="10"/>
      <c r="M12" s="10"/>
      <c r="N12" s="10"/>
      <c r="O12" s="10"/>
    </row>
    <row r="13" ht="22.5" customHeight="1">
      <c r="A13" s="13">
        <v>45979.0</v>
      </c>
      <c r="B13" s="5" t="s">
        <v>46</v>
      </c>
      <c r="C13" s="4" t="s">
        <v>47</v>
      </c>
      <c r="D13" s="5" t="s">
        <v>48</v>
      </c>
      <c r="E13" s="4" t="s">
        <v>19</v>
      </c>
      <c r="F13" s="6" t="s">
        <v>31</v>
      </c>
      <c r="G13" s="7">
        <v>5.0E8</v>
      </c>
      <c r="H13" s="8">
        <v>45980.0</v>
      </c>
      <c r="I13" s="8">
        <v>45982.0</v>
      </c>
      <c r="J13" s="12"/>
      <c r="K13" s="10"/>
      <c r="L13" s="10"/>
      <c r="M13" s="10"/>
      <c r="N13" s="10"/>
      <c r="O13" s="10"/>
    </row>
    <row r="14" ht="15.75" customHeight="1">
      <c r="A14" s="14">
        <v>45992.0</v>
      </c>
      <c r="B14" s="5" t="s">
        <v>49</v>
      </c>
      <c r="C14" s="4" t="s">
        <v>17</v>
      </c>
      <c r="D14" s="5" t="s">
        <v>50</v>
      </c>
      <c r="E14" s="4" t="s">
        <v>19</v>
      </c>
      <c r="F14" s="6" t="s">
        <v>51</v>
      </c>
      <c r="G14" s="7">
        <v>1.59E8</v>
      </c>
      <c r="H14" s="8"/>
      <c r="I14" s="8"/>
      <c r="J14" s="9">
        <v>1.788E8</v>
      </c>
      <c r="K14" s="10"/>
      <c r="L14" s="10"/>
      <c r="M14" s="10"/>
      <c r="N14" s="10"/>
      <c r="O14" s="10"/>
    </row>
    <row r="15" ht="15.75" customHeight="1">
      <c r="A15" s="15">
        <v>46053.0</v>
      </c>
      <c r="B15" s="5" t="s">
        <v>46</v>
      </c>
      <c r="C15" s="4" t="s">
        <v>47</v>
      </c>
      <c r="D15" s="5" t="s">
        <v>52</v>
      </c>
      <c r="E15" s="4" t="s">
        <v>19</v>
      </c>
      <c r="F15" s="6" t="s">
        <v>51</v>
      </c>
      <c r="G15" s="7">
        <v>4.22E7</v>
      </c>
      <c r="H15" s="8"/>
      <c r="I15" s="8"/>
      <c r="J15" s="9">
        <v>4.22E7</v>
      </c>
      <c r="K15" s="10"/>
      <c r="L15" s="10"/>
      <c r="M15" s="10"/>
      <c r="N15" s="10"/>
      <c r="O15" s="10"/>
    </row>
    <row r="16" ht="15.75" customHeight="1">
      <c r="A16" s="16">
        <v>46087.0</v>
      </c>
      <c r="B16" s="5" t="s">
        <v>53</v>
      </c>
      <c r="C16" s="4" t="s">
        <v>17</v>
      </c>
      <c r="D16" s="5" t="s">
        <v>54</v>
      </c>
      <c r="E16" s="4" t="s">
        <v>19</v>
      </c>
      <c r="F16" s="6" t="s">
        <v>20</v>
      </c>
      <c r="G16" s="7">
        <v>1.0E8</v>
      </c>
      <c r="H16" s="8"/>
      <c r="I16" s="8"/>
      <c r="J16" s="9">
        <v>1.4E7</v>
      </c>
      <c r="K16" s="10"/>
      <c r="L16" s="10"/>
      <c r="M16" s="10"/>
      <c r="N16" s="10"/>
      <c r="O16" s="10"/>
    </row>
    <row r="17" ht="15.75" customHeight="1">
      <c r="A17" s="17">
        <v>46087.0</v>
      </c>
      <c r="B17" s="5" t="s">
        <v>55</v>
      </c>
      <c r="C17" s="4" t="s">
        <v>47</v>
      </c>
      <c r="D17" s="5" t="s">
        <v>56</v>
      </c>
      <c r="E17" s="4" t="s">
        <v>19</v>
      </c>
      <c r="F17" s="6" t="s">
        <v>31</v>
      </c>
      <c r="G17" s="7">
        <v>5.0E7</v>
      </c>
      <c r="H17" s="8"/>
      <c r="I17" s="8"/>
      <c r="J17" s="12"/>
      <c r="K17" s="10"/>
      <c r="L17" s="10"/>
      <c r="M17" s="4"/>
      <c r="N17" s="4"/>
      <c r="O17" s="10"/>
    </row>
    <row r="18" ht="15.75" customHeight="1">
      <c r="A18" s="18">
        <v>46087.0</v>
      </c>
      <c r="B18" s="5" t="s">
        <v>57</v>
      </c>
      <c r="C18" s="4" t="s">
        <v>17</v>
      </c>
      <c r="D18" s="5" t="s">
        <v>58</v>
      </c>
      <c r="E18" s="4" t="s">
        <v>19</v>
      </c>
      <c r="F18" s="6" t="s">
        <v>59</v>
      </c>
      <c r="G18" s="7">
        <v>1.0E8</v>
      </c>
      <c r="H18" s="8"/>
      <c r="I18" s="8"/>
      <c r="J18" s="12"/>
      <c r="K18" s="10"/>
      <c r="L18" s="10"/>
      <c r="M18" s="10"/>
      <c r="N18" s="10"/>
      <c r="O18" s="10"/>
    </row>
    <row r="19" ht="15.75" customHeight="1">
      <c r="A19" s="18">
        <v>46087.0</v>
      </c>
      <c r="B19" s="5" t="s">
        <v>16</v>
      </c>
      <c r="C19" s="4" t="s">
        <v>17</v>
      </c>
      <c r="D19" s="5" t="s">
        <v>60</v>
      </c>
      <c r="E19" s="4" t="s">
        <v>19</v>
      </c>
      <c r="F19" s="6" t="s">
        <v>51</v>
      </c>
      <c r="G19" s="7">
        <v>1.5E7</v>
      </c>
      <c r="H19" s="8"/>
      <c r="I19" s="8"/>
      <c r="J19" s="12"/>
      <c r="K19" s="10"/>
      <c r="L19" s="10"/>
      <c r="M19" s="10"/>
      <c r="N19" s="10"/>
      <c r="O19" s="10"/>
    </row>
    <row r="20" ht="15.75" customHeight="1">
      <c r="A20" s="19" t="s">
        <v>61</v>
      </c>
      <c r="B20" s="20"/>
      <c r="C20" s="21"/>
      <c r="D20" s="20"/>
      <c r="E20" s="21"/>
      <c r="F20" s="22"/>
      <c r="G20" s="23"/>
      <c r="H20" s="24"/>
      <c r="I20" s="24"/>
      <c r="J20" s="25"/>
      <c r="K20" s="26"/>
      <c r="L20" s="26"/>
      <c r="M20" s="26"/>
      <c r="N20" s="26"/>
      <c r="O20" s="26"/>
    </row>
    <row r="21" ht="15.75" customHeight="1">
      <c r="A21" s="27" t="s">
        <v>61</v>
      </c>
      <c r="B21" s="5" t="s">
        <v>62</v>
      </c>
      <c r="C21" s="4" t="s">
        <v>17</v>
      </c>
      <c r="D21" s="5" t="s">
        <v>63</v>
      </c>
      <c r="E21" s="4" t="s">
        <v>19</v>
      </c>
      <c r="F21" s="6" t="s">
        <v>59</v>
      </c>
      <c r="G21" s="7">
        <v>1.5E7</v>
      </c>
      <c r="H21" s="8"/>
      <c r="I21" s="8"/>
      <c r="J21" s="9">
        <v>1.5E7</v>
      </c>
      <c r="K21" s="28" t="s">
        <v>64</v>
      </c>
      <c r="L21" s="10"/>
      <c r="M21" s="10"/>
      <c r="N21" s="10"/>
      <c r="O21" s="10"/>
    </row>
    <row r="22" ht="15.75" customHeight="1">
      <c r="A22" s="27" t="s">
        <v>61</v>
      </c>
      <c r="B22" s="5" t="s">
        <v>65</v>
      </c>
      <c r="C22" s="4"/>
      <c r="D22" s="5"/>
      <c r="E22" s="4" t="s">
        <v>19</v>
      </c>
      <c r="F22" s="6" t="s">
        <v>66</v>
      </c>
      <c r="G22" s="7"/>
      <c r="H22" s="8"/>
      <c r="I22" s="8"/>
      <c r="J22" s="12"/>
      <c r="K22" s="28" t="s">
        <v>64</v>
      </c>
      <c r="L22" s="10"/>
      <c r="M22" s="10"/>
      <c r="N22" s="10"/>
      <c r="O22" s="10"/>
    </row>
    <row r="23" ht="15.75" customHeight="1">
      <c r="A23" s="27" t="s">
        <v>61</v>
      </c>
      <c r="B23" s="5" t="s">
        <v>67</v>
      </c>
      <c r="C23" s="4" t="s">
        <v>17</v>
      </c>
      <c r="D23" s="5" t="s">
        <v>68</v>
      </c>
      <c r="E23" s="4" t="s">
        <v>19</v>
      </c>
      <c r="F23" s="6" t="s">
        <v>66</v>
      </c>
      <c r="G23" s="7">
        <v>2.5E7</v>
      </c>
      <c r="H23" s="8"/>
      <c r="I23" s="8"/>
      <c r="J23" s="12"/>
      <c r="K23" s="28" t="s">
        <v>64</v>
      </c>
      <c r="L23" s="10"/>
      <c r="M23" s="10"/>
      <c r="N23" s="10"/>
      <c r="O23" s="10"/>
    </row>
    <row r="24" ht="15.75" customHeight="1">
      <c r="A24" s="27" t="s">
        <v>61</v>
      </c>
      <c r="B24" s="5" t="s">
        <v>55</v>
      </c>
      <c r="C24" s="4" t="s">
        <v>69</v>
      </c>
      <c r="D24" s="5" t="s">
        <v>70</v>
      </c>
      <c r="E24" s="4" t="s">
        <v>19</v>
      </c>
      <c r="F24" s="6" t="s">
        <v>71</v>
      </c>
      <c r="G24" s="7">
        <v>3.5E7</v>
      </c>
      <c r="H24" s="8">
        <v>46161.0</v>
      </c>
      <c r="I24" s="8">
        <v>46164.0</v>
      </c>
      <c r="J24" s="12"/>
      <c r="K24" s="28" t="s">
        <v>64</v>
      </c>
      <c r="L24" s="10"/>
      <c r="M24" s="29" t="s">
        <v>72</v>
      </c>
      <c r="N24" s="29" t="s">
        <v>73</v>
      </c>
      <c r="O24" s="10"/>
    </row>
    <row r="25" ht="15.75" customHeight="1">
      <c r="A25" s="27" t="s">
        <v>61</v>
      </c>
      <c r="B25" s="5" t="s">
        <v>74</v>
      </c>
      <c r="C25" s="4" t="s">
        <v>75</v>
      </c>
      <c r="D25" s="5" t="s">
        <v>76</v>
      </c>
      <c r="E25" s="4" t="s">
        <v>19</v>
      </c>
      <c r="F25" s="6" t="s">
        <v>66</v>
      </c>
      <c r="G25" s="7">
        <v>5.0E8</v>
      </c>
      <c r="H25" s="8">
        <v>46161.0</v>
      </c>
      <c r="I25" s="8"/>
      <c r="J25" s="12"/>
      <c r="K25" s="28" t="s">
        <v>64</v>
      </c>
      <c r="L25" s="10"/>
      <c r="M25" s="10"/>
      <c r="N25" s="10"/>
      <c r="O25" s="10"/>
    </row>
    <row r="26" ht="15.75" customHeight="1">
      <c r="A26" s="27" t="s">
        <v>61</v>
      </c>
      <c r="B26" s="5" t="s">
        <v>77</v>
      </c>
      <c r="C26" s="4" t="s">
        <v>78</v>
      </c>
      <c r="D26" s="5" t="s">
        <v>79</v>
      </c>
      <c r="E26" s="4" t="s">
        <v>80</v>
      </c>
      <c r="F26" s="6" t="s">
        <v>51</v>
      </c>
      <c r="G26" s="7">
        <v>3.5E7</v>
      </c>
      <c r="H26" s="8">
        <v>46163.0</v>
      </c>
      <c r="I26" s="8"/>
      <c r="J26" s="9">
        <v>1000000.0</v>
      </c>
      <c r="K26" s="28" t="s">
        <v>64</v>
      </c>
      <c r="L26" s="30" t="s">
        <v>81</v>
      </c>
      <c r="M26" s="30" t="s">
        <v>82</v>
      </c>
      <c r="N26" s="30" t="s">
        <v>83</v>
      </c>
      <c r="O26" s="10"/>
    </row>
    <row r="27" ht="15.75" customHeight="1">
      <c r="A27" s="27" t="s">
        <v>61</v>
      </c>
      <c r="B27" s="5" t="s">
        <v>84</v>
      </c>
      <c r="C27" s="4" t="s">
        <v>78</v>
      </c>
      <c r="D27" s="5" t="s">
        <v>85</v>
      </c>
      <c r="E27" s="4" t="s">
        <v>80</v>
      </c>
      <c r="F27" s="6" t="s">
        <v>66</v>
      </c>
      <c r="G27" s="7">
        <v>5.0E7</v>
      </c>
      <c r="H27" s="8">
        <v>46164.0</v>
      </c>
      <c r="I27" s="8"/>
      <c r="J27" s="12"/>
      <c r="K27" s="28" t="s">
        <v>64</v>
      </c>
      <c r="L27" s="30" t="s">
        <v>86</v>
      </c>
      <c r="M27" s="30" t="s">
        <v>87</v>
      </c>
      <c r="N27" s="30" t="s">
        <v>88</v>
      </c>
      <c r="O27" s="10"/>
    </row>
    <row r="28" ht="15.75" customHeight="1">
      <c r="A28" s="27" t="s">
        <v>61</v>
      </c>
      <c r="B28" s="5" t="s">
        <v>84</v>
      </c>
      <c r="C28" s="4" t="s">
        <v>78</v>
      </c>
      <c r="D28" s="5" t="s">
        <v>89</v>
      </c>
      <c r="E28" s="4" t="s">
        <v>80</v>
      </c>
      <c r="F28" s="6" t="s">
        <v>66</v>
      </c>
      <c r="G28" s="7">
        <v>1.0E8</v>
      </c>
      <c r="H28" s="8">
        <v>46164.0</v>
      </c>
      <c r="I28" s="8"/>
      <c r="J28" s="12"/>
      <c r="K28" s="28" t="s">
        <v>64</v>
      </c>
      <c r="L28" s="31" t="s">
        <v>90</v>
      </c>
      <c r="M28" s="30" t="s">
        <v>91</v>
      </c>
      <c r="N28" s="30" t="s">
        <v>92</v>
      </c>
      <c r="O28" s="10"/>
    </row>
    <row r="29" ht="15.75" customHeight="1">
      <c r="A29" s="27" t="s">
        <v>61</v>
      </c>
      <c r="B29" s="5" t="s">
        <v>93</v>
      </c>
      <c r="C29" s="4" t="s">
        <v>17</v>
      </c>
      <c r="D29" s="5" t="s">
        <v>94</v>
      </c>
      <c r="E29" s="4" t="s">
        <v>80</v>
      </c>
      <c r="F29" s="6" t="s">
        <v>51</v>
      </c>
      <c r="G29" s="7">
        <v>1.5E7</v>
      </c>
      <c r="H29" s="8">
        <v>46164.0</v>
      </c>
      <c r="I29" s="8"/>
      <c r="J29" s="9">
        <v>1.51E7</v>
      </c>
      <c r="K29" s="28" t="s">
        <v>64</v>
      </c>
      <c r="L29" s="30" t="s">
        <v>95</v>
      </c>
      <c r="M29" s="30" t="s">
        <v>96</v>
      </c>
      <c r="N29" s="30" t="s">
        <v>97</v>
      </c>
      <c r="O29" s="10"/>
    </row>
    <row r="30" ht="15.75" customHeight="1">
      <c r="A30" s="27" t="s">
        <v>61</v>
      </c>
      <c r="B30" s="5" t="s">
        <v>98</v>
      </c>
      <c r="C30" s="4" t="s">
        <v>17</v>
      </c>
      <c r="D30" s="5" t="s">
        <v>99</v>
      </c>
      <c r="E30" s="4" t="s">
        <v>80</v>
      </c>
      <c r="F30" s="6" t="s">
        <v>66</v>
      </c>
      <c r="G30" s="7">
        <v>5.0E7</v>
      </c>
      <c r="H30" s="8">
        <v>46164.0</v>
      </c>
      <c r="I30" s="8"/>
      <c r="J30" s="12"/>
      <c r="K30" s="28" t="s">
        <v>64</v>
      </c>
      <c r="L30" s="30" t="s">
        <v>100</v>
      </c>
      <c r="M30" s="30" t="s">
        <v>101</v>
      </c>
      <c r="N30" s="30" t="s">
        <v>102</v>
      </c>
      <c r="O30" s="10"/>
    </row>
    <row r="31" ht="15.75" customHeight="1">
      <c r="A31" s="27" t="s">
        <v>61</v>
      </c>
      <c r="B31" s="5" t="s">
        <v>103</v>
      </c>
      <c r="C31" s="4" t="s">
        <v>104</v>
      </c>
      <c r="D31" s="5" t="s">
        <v>105</v>
      </c>
      <c r="E31" s="4" t="s">
        <v>19</v>
      </c>
      <c r="F31" s="6" t="s">
        <v>66</v>
      </c>
      <c r="G31" s="7">
        <v>5.0E7</v>
      </c>
      <c r="H31" s="8">
        <v>46168.0</v>
      </c>
      <c r="I31" s="8"/>
      <c r="J31" s="12"/>
      <c r="K31" s="28" t="s">
        <v>64</v>
      </c>
      <c r="L31" s="30" t="s">
        <v>106</v>
      </c>
      <c r="M31" s="30" t="s">
        <v>107</v>
      </c>
      <c r="N31" s="28"/>
      <c r="O31" s="10"/>
    </row>
    <row r="32" ht="15.75" customHeight="1">
      <c r="A32" s="27" t="s">
        <v>61</v>
      </c>
      <c r="B32" s="5" t="s">
        <v>108</v>
      </c>
      <c r="C32" s="4" t="s">
        <v>109</v>
      </c>
      <c r="D32" s="5" t="s">
        <v>110</v>
      </c>
      <c r="E32" s="4" t="s">
        <v>80</v>
      </c>
      <c r="F32" s="6" t="s">
        <v>71</v>
      </c>
      <c r="G32" s="7">
        <v>3.0E7</v>
      </c>
      <c r="H32" s="8">
        <v>46171.0</v>
      </c>
      <c r="I32" s="8"/>
      <c r="J32" s="12"/>
      <c r="K32" s="28" t="s">
        <v>64</v>
      </c>
      <c r="L32" s="30" t="s">
        <v>111</v>
      </c>
      <c r="M32" s="31" t="s">
        <v>112</v>
      </c>
      <c r="N32" s="30" t="s">
        <v>113</v>
      </c>
      <c r="O32" s="10"/>
    </row>
    <row r="33" ht="15.75" customHeight="1">
      <c r="A33" s="27" t="s">
        <v>61</v>
      </c>
      <c r="B33" s="5" t="s">
        <v>114</v>
      </c>
      <c r="C33" s="4" t="s">
        <v>115</v>
      </c>
      <c r="D33" s="5" t="s">
        <v>116</v>
      </c>
      <c r="E33" s="4" t="s">
        <v>19</v>
      </c>
      <c r="F33" s="6" t="s">
        <v>117</v>
      </c>
      <c r="G33" s="7">
        <v>4.25E7</v>
      </c>
      <c r="H33" s="8">
        <v>46171.0</v>
      </c>
      <c r="I33" s="8"/>
      <c r="J33" s="12"/>
      <c r="K33" s="28" t="s">
        <v>118</v>
      </c>
      <c r="L33" s="30" t="s">
        <v>119</v>
      </c>
      <c r="M33" s="30" t="s">
        <v>120</v>
      </c>
      <c r="N33" s="28"/>
      <c r="O33" s="10"/>
    </row>
    <row r="34" ht="15.75" customHeight="1">
      <c r="A34" s="19" t="s">
        <v>121</v>
      </c>
      <c r="B34" s="20"/>
      <c r="C34" s="21"/>
      <c r="D34" s="20"/>
      <c r="E34" s="21"/>
      <c r="F34" s="22"/>
      <c r="G34" s="23"/>
      <c r="H34" s="24"/>
      <c r="I34" s="24"/>
      <c r="J34" s="25"/>
      <c r="K34" s="26"/>
      <c r="L34" s="26"/>
      <c r="M34" s="26"/>
      <c r="N34" s="26"/>
      <c r="O34" s="26"/>
    </row>
    <row r="35" ht="15.75" customHeight="1">
      <c r="A35" s="18">
        <v>46174.0</v>
      </c>
      <c r="B35" s="5" t="s">
        <v>122</v>
      </c>
      <c r="C35" s="4" t="s">
        <v>17</v>
      </c>
      <c r="D35" s="5" t="s">
        <v>123</v>
      </c>
      <c r="E35" s="4" t="s">
        <v>80</v>
      </c>
      <c r="F35" s="6" t="s">
        <v>66</v>
      </c>
      <c r="G35" s="32" t="s">
        <v>124</v>
      </c>
      <c r="H35" s="8">
        <v>46175.0</v>
      </c>
      <c r="I35" s="8"/>
      <c r="J35" s="12"/>
      <c r="K35" s="28" t="s">
        <v>64</v>
      </c>
      <c r="L35" s="30" t="s">
        <v>125</v>
      </c>
      <c r="M35" s="30" t="s">
        <v>126</v>
      </c>
      <c r="N35" s="30" t="s">
        <v>127</v>
      </c>
      <c r="O35" s="10"/>
    </row>
    <row r="36" ht="15.75" customHeight="1">
      <c r="A36" s="18">
        <v>46174.0</v>
      </c>
      <c r="B36" s="5" t="s">
        <v>128</v>
      </c>
      <c r="C36" s="4" t="s">
        <v>17</v>
      </c>
      <c r="D36" s="5" t="s">
        <v>129</v>
      </c>
      <c r="E36" s="4" t="s">
        <v>80</v>
      </c>
      <c r="F36" s="6" t="s">
        <v>59</v>
      </c>
      <c r="G36" s="7">
        <v>3.5E7</v>
      </c>
      <c r="H36" s="8">
        <v>46175.0</v>
      </c>
      <c r="I36" s="8"/>
      <c r="J36" s="12"/>
      <c r="K36" s="28" t="s">
        <v>118</v>
      </c>
      <c r="L36" s="30" t="s">
        <v>130</v>
      </c>
      <c r="M36" s="30" t="s">
        <v>131</v>
      </c>
      <c r="N36" s="31" t="s">
        <v>132</v>
      </c>
      <c r="O36" s="10"/>
    </row>
    <row r="37" ht="15.75" customHeight="1">
      <c r="A37" s="18">
        <v>46174.0</v>
      </c>
      <c r="B37" s="5" t="s">
        <v>128</v>
      </c>
      <c r="C37" s="4" t="s">
        <v>17</v>
      </c>
      <c r="D37" s="5" t="s">
        <v>133</v>
      </c>
      <c r="E37" s="4" t="s">
        <v>80</v>
      </c>
      <c r="F37" s="6" t="s">
        <v>59</v>
      </c>
      <c r="G37" s="7">
        <v>1.0E8</v>
      </c>
      <c r="H37" s="8">
        <v>46175.0</v>
      </c>
      <c r="I37" s="8"/>
      <c r="J37" s="12"/>
      <c r="K37" s="28" t="s">
        <v>64</v>
      </c>
      <c r="L37" s="30" t="s">
        <v>134</v>
      </c>
      <c r="M37" s="30" t="s">
        <v>135</v>
      </c>
      <c r="N37" s="30" t="s">
        <v>136</v>
      </c>
      <c r="O37" s="10"/>
    </row>
    <row r="38" ht="15.75" customHeight="1">
      <c r="A38" s="18">
        <v>46174.0</v>
      </c>
      <c r="B38" s="5" t="s">
        <v>128</v>
      </c>
      <c r="C38" s="4" t="s">
        <v>17</v>
      </c>
      <c r="D38" s="5" t="s">
        <v>137</v>
      </c>
      <c r="E38" s="4" t="s">
        <v>80</v>
      </c>
      <c r="F38" s="6" t="s">
        <v>59</v>
      </c>
      <c r="G38" s="7">
        <v>5.0E7</v>
      </c>
      <c r="H38" s="8">
        <v>46175.0</v>
      </c>
      <c r="I38" s="8"/>
      <c r="J38" s="12"/>
      <c r="K38" s="28" t="s">
        <v>64</v>
      </c>
      <c r="L38" s="30" t="s">
        <v>134</v>
      </c>
      <c r="M38" s="30" t="s">
        <v>138</v>
      </c>
      <c r="N38" s="30" t="s">
        <v>139</v>
      </c>
      <c r="O38" s="10"/>
    </row>
    <row r="39" ht="15.75" customHeight="1">
      <c r="A39" s="18">
        <v>46174.0</v>
      </c>
      <c r="B39" s="5" t="s">
        <v>128</v>
      </c>
      <c r="C39" s="4" t="s">
        <v>17</v>
      </c>
      <c r="D39" s="5" t="s">
        <v>140</v>
      </c>
      <c r="E39" s="4" t="s">
        <v>80</v>
      </c>
      <c r="F39" s="6" t="s">
        <v>117</v>
      </c>
      <c r="G39" s="7"/>
      <c r="H39" s="8"/>
      <c r="I39" s="8"/>
      <c r="J39" s="12"/>
      <c r="K39" s="28" t="s">
        <v>118</v>
      </c>
      <c r="L39" s="28"/>
      <c r="M39" s="30" t="s">
        <v>141</v>
      </c>
      <c r="N39" s="30" t="s">
        <v>142</v>
      </c>
      <c r="O39" s="10"/>
    </row>
    <row r="40" ht="15.75" customHeight="1">
      <c r="A40" s="18">
        <v>46174.0</v>
      </c>
      <c r="B40" s="5" t="s">
        <v>128</v>
      </c>
      <c r="C40" s="4" t="s">
        <v>17</v>
      </c>
      <c r="D40" s="5" t="s">
        <v>143</v>
      </c>
      <c r="E40" s="4" t="s">
        <v>80</v>
      </c>
      <c r="F40" s="6" t="s">
        <v>59</v>
      </c>
      <c r="G40" s="7">
        <v>4000000.0</v>
      </c>
      <c r="H40" s="8">
        <v>46175.0</v>
      </c>
      <c r="I40" s="8"/>
      <c r="J40" s="12"/>
      <c r="K40" s="28" t="s">
        <v>144</v>
      </c>
      <c r="L40" s="31" t="s">
        <v>145</v>
      </c>
      <c r="M40" s="31" t="s">
        <v>146</v>
      </c>
      <c r="N40" s="30" t="s">
        <v>147</v>
      </c>
      <c r="O40" s="10"/>
    </row>
    <row r="41" ht="15.75" customHeight="1">
      <c r="A41" s="18">
        <v>46174.0</v>
      </c>
      <c r="B41" s="5" t="s">
        <v>148</v>
      </c>
      <c r="C41" s="4" t="s">
        <v>17</v>
      </c>
      <c r="D41" s="5" t="s">
        <v>149</v>
      </c>
      <c r="E41" s="4" t="s">
        <v>80</v>
      </c>
      <c r="F41" s="6" t="s">
        <v>71</v>
      </c>
      <c r="G41" s="32" t="s">
        <v>124</v>
      </c>
      <c r="H41" s="8">
        <v>46176.0</v>
      </c>
      <c r="I41" s="8"/>
      <c r="J41" s="12"/>
      <c r="K41" s="28" t="s">
        <v>118</v>
      </c>
      <c r="L41" s="31" t="s">
        <v>150</v>
      </c>
      <c r="M41" s="33" t="s">
        <v>151</v>
      </c>
      <c r="N41" s="33" t="s">
        <v>152</v>
      </c>
      <c r="O41" s="10"/>
    </row>
    <row r="42" ht="15.75" customHeight="1">
      <c r="A42" s="18">
        <v>46174.0</v>
      </c>
      <c r="B42" s="5" t="s">
        <v>153</v>
      </c>
      <c r="C42" s="4" t="s">
        <v>17</v>
      </c>
      <c r="D42" s="5" t="s">
        <v>154</v>
      </c>
      <c r="E42" s="4" t="s">
        <v>80</v>
      </c>
      <c r="F42" s="6" t="s">
        <v>117</v>
      </c>
      <c r="G42" s="32"/>
      <c r="H42" s="8"/>
      <c r="I42" s="8"/>
      <c r="J42" s="12"/>
      <c r="K42" s="28" t="s">
        <v>64</v>
      </c>
      <c r="M42" s="34" t="s">
        <v>155</v>
      </c>
      <c r="N42" s="30" t="s">
        <v>156</v>
      </c>
      <c r="O42" s="10"/>
    </row>
    <row r="43" ht="15.75" customHeight="1">
      <c r="A43" s="18">
        <v>46174.0</v>
      </c>
      <c r="B43" s="5" t="s">
        <v>157</v>
      </c>
      <c r="C43" s="4" t="s">
        <v>17</v>
      </c>
      <c r="D43" s="5" t="s">
        <v>158</v>
      </c>
      <c r="E43" s="4" t="s">
        <v>80</v>
      </c>
      <c r="F43" s="6" t="s">
        <v>117</v>
      </c>
      <c r="G43" s="32"/>
      <c r="H43" s="8"/>
      <c r="I43" s="8"/>
      <c r="J43" s="12"/>
      <c r="K43" s="28" t="s">
        <v>118</v>
      </c>
      <c r="M43" s="30" t="s">
        <v>159</v>
      </c>
      <c r="N43" s="30" t="s">
        <v>160</v>
      </c>
      <c r="O43" s="10"/>
    </row>
    <row r="44" ht="15.75" customHeight="1">
      <c r="A44" s="18">
        <v>46174.0</v>
      </c>
      <c r="B44" s="5" t="s">
        <v>161</v>
      </c>
      <c r="C44" s="4" t="s">
        <v>78</v>
      </c>
      <c r="D44" s="5" t="s">
        <v>162</v>
      </c>
      <c r="E44" s="4" t="s">
        <v>80</v>
      </c>
      <c r="F44" s="6" t="s">
        <v>66</v>
      </c>
      <c r="G44" s="7"/>
      <c r="H44" s="8"/>
      <c r="I44" s="8"/>
      <c r="J44" s="12"/>
      <c r="K44" s="28" t="s">
        <v>118</v>
      </c>
      <c r="M44" s="30" t="s">
        <v>163</v>
      </c>
      <c r="N44" s="30" t="s">
        <v>164</v>
      </c>
      <c r="O44" s="10"/>
    </row>
    <row r="45" ht="15.75" customHeight="1">
      <c r="A45" s="18">
        <v>46174.0</v>
      </c>
      <c r="B45" s="5" t="s">
        <v>161</v>
      </c>
      <c r="C45" s="4" t="s">
        <v>78</v>
      </c>
      <c r="D45" s="5" t="s">
        <v>165</v>
      </c>
      <c r="E45" s="4" t="s">
        <v>80</v>
      </c>
      <c r="F45" s="6" t="s">
        <v>66</v>
      </c>
      <c r="G45" s="7"/>
      <c r="H45" s="8"/>
      <c r="I45" s="8"/>
      <c r="J45" s="12"/>
      <c r="K45" s="28" t="s">
        <v>64</v>
      </c>
      <c r="M45" s="30" t="s">
        <v>166</v>
      </c>
      <c r="N45" s="30" t="s">
        <v>167</v>
      </c>
      <c r="O45" s="10"/>
    </row>
    <row r="46" ht="15.75" customHeight="1">
      <c r="A46" s="18">
        <v>46174.0</v>
      </c>
      <c r="B46" s="5" t="s">
        <v>84</v>
      </c>
      <c r="C46" s="4" t="s">
        <v>78</v>
      </c>
      <c r="D46" s="5" t="s">
        <v>168</v>
      </c>
      <c r="E46" s="4" t="s">
        <v>80</v>
      </c>
      <c r="F46" s="6" t="s">
        <v>66</v>
      </c>
      <c r="G46" s="7"/>
      <c r="H46" s="8"/>
      <c r="I46" s="8"/>
      <c r="J46" s="12"/>
      <c r="K46" s="28" t="s">
        <v>118</v>
      </c>
      <c r="M46" s="30" t="s">
        <v>169</v>
      </c>
      <c r="N46" s="30" t="s">
        <v>170</v>
      </c>
      <c r="O46" s="10"/>
    </row>
    <row r="47" ht="15.75" customHeight="1">
      <c r="A47" s="18">
        <v>46174.0</v>
      </c>
      <c r="B47" s="5" t="s">
        <v>171</v>
      </c>
      <c r="C47" s="4" t="s">
        <v>17</v>
      </c>
      <c r="D47" s="5" t="s">
        <v>172</v>
      </c>
      <c r="E47" s="4" t="s">
        <v>80</v>
      </c>
      <c r="F47" s="6" t="s">
        <v>117</v>
      </c>
      <c r="G47" s="7"/>
      <c r="H47" s="8"/>
      <c r="I47" s="8"/>
      <c r="J47" s="12"/>
      <c r="K47" s="28" t="s">
        <v>118</v>
      </c>
      <c r="M47" s="30" t="s">
        <v>173</v>
      </c>
      <c r="N47" s="30" t="s">
        <v>160</v>
      </c>
      <c r="O47" s="10"/>
    </row>
    <row r="48" ht="15.75" customHeight="1">
      <c r="A48" s="18">
        <v>46174.0</v>
      </c>
      <c r="B48" s="5" t="s">
        <v>84</v>
      </c>
      <c r="C48" s="4" t="s">
        <v>78</v>
      </c>
      <c r="D48" s="5" t="s">
        <v>174</v>
      </c>
      <c r="E48" s="4" t="s">
        <v>80</v>
      </c>
      <c r="F48" s="6" t="s">
        <v>51</v>
      </c>
      <c r="G48" s="7"/>
      <c r="H48" s="8">
        <v>46192.0</v>
      </c>
      <c r="I48" s="8"/>
      <c r="J48" s="12"/>
      <c r="K48" s="28" t="s">
        <v>64</v>
      </c>
      <c r="L48" s="28"/>
      <c r="M48" s="34" t="s">
        <v>175</v>
      </c>
      <c r="N48" s="28"/>
      <c r="O48" s="10"/>
    </row>
    <row r="49" ht="15.75" customHeight="1">
      <c r="A49" s="18">
        <v>46174.0</v>
      </c>
      <c r="B49" s="5" t="s">
        <v>176</v>
      </c>
      <c r="C49" s="4" t="s">
        <v>17</v>
      </c>
      <c r="D49" s="5" t="s">
        <v>177</v>
      </c>
      <c r="E49" s="4" t="s">
        <v>80</v>
      </c>
      <c r="F49" s="6" t="s">
        <v>117</v>
      </c>
      <c r="G49" s="7"/>
      <c r="H49" s="8">
        <v>46195.0</v>
      </c>
      <c r="I49" s="8"/>
      <c r="J49" s="12"/>
      <c r="K49" s="28" t="s">
        <v>178</v>
      </c>
      <c r="L49" s="28"/>
      <c r="M49" s="34" t="s">
        <v>179</v>
      </c>
      <c r="N49" s="30" t="s">
        <v>180</v>
      </c>
      <c r="O49" s="10"/>
    </row>
    <row r="50" ht="15.75" customHeight="1">
      <c r="A50" s="35"/>
      <c r="B50" s="5"/>
      <c r="C50" s="4"/>
      <c r="D50" s="5"/>
      <c r="E50" s="4"/>
      <c r="F50" s="36"/>
      <c r="G50" s="7"/>
      <c r="H50" s="8"/>
      <c r="I50" s="8"/>
      <c r="J50" s="12"/>
      <c r="K50" s="28"/>
      <c r="L50" s="28"/>
      <c r="M50" s="28"/>
      <c r="N50" s="28"/>
      <c r="O50" s="10"/>
    </row>
    <row r="51" ht="15.75" customHeight="1">
      <c r="A51" s="35"/>
      <c r="B51" s="5"/>
      <c r="C51" s="4"/>
      <c r="D51" s="5"/>
      <c r="E51" s="4"/>
      <c r="F51" s="36"/>
      <c r="G51" s="7"/>
      <c r="H51" s="8"/>
      <c r="I51" s="8"/>
      <c r="J51" s="12"/>
      <c r="K51" s="28"/>
      <c r="L51" s="28"/>
      <c r="M51" s="28"/>
      <c r="N51" s="28"/>
      <c r="O51" s="10"/>
    </row>
    <row r="52" ht="15.75" customHeight="1">
      <c r="A52" s="35"/>
      <c r="B52" s="5"/>
      <c r="C52" s="4"/>
      <c r="D52" s="5"/>
      <c r="E52" s="4"/>
      <c r="F52" s="36"/>
      <c r="G52" s="7"/>
      <c r="H52" s="8"/>
      <c r="I52" s="8"/>
      <c r="J52" s="12"/>
      <c r="K52" s="28"/>
      <c r="L52" s="28"/>
      <c r="M52" s="28"/>
      <c r="N52" s="28"/>
      <c r="O52" s="10"/>
    </row>
    <row r="53" ht="15.75" customHeight="1">
      <c r="A53" s="35"/>
      <c r="B53" s="5"/>
      <c r="C53" s="4"/>
      <c r="D53" s="5"/>
      <c r="E53" s="4"/>
      <c r="F53" s="36"/>
      <c r="G53" s="7"/>
      <c r="H53" s="8"/>
      <c r="I53" s="8"/>
      <c r="J53" s="12"/>
      <c r="K53" s="28"/>
      <c r="L53" s="28"/>
      <c r="M53" s="28"/>
      <c r="N53" s="28"/>
      <c r="O53" s="10"/>
    </row>
    <row r="54" ht="15.75" customHeight="1">
      <c r="A54" s="35"/>
      <c r="B54" s="5"/>
      <c r="C54" s="4"/>
      <c r="D54" s="5"/>
      <c r="E54" s="4"/>
      <c r="F54" s="36"/>
      <c r="G54" s="7"/>
      <c r="H54" s="8"/>
      <c r="I54" s="8"/>
      <c r="J54" s="12"/>
      <c r="K54" s="28"/>
      <c r="L54" s="28"/>
      <c r="M54" s="28"/>
      <c r="N54" s="28"/>
      <c r="O54" s="10"/>
    </row>
    <row r="55" ht="15.75" customHeight="1">
      <c r="A55" s="35"/>
      <c r="B55" s="5"/>
      <c r="C55" s="4"/>
      <c r="D55" s="5"/>
      <c r="E55" s="4"/>
      <c r="F55" s="36"/>
      <c r="G55" s="7"/>
      <c r="H55" s="8"/>
      <c r="I55" s="8"/>
      <c r="J55" s="12"/>
      <c r="K55" s="28"/>
      <c r="L55" s="28"/>
      <c r="M55" s="28"/>
      <c r="N55" s="28"/>
      <c r="O55" s="10"/>
    </row>
    <row r="56" ht="15.75" customHeight="1">
      <c r="F56" s="37"/>
    </row>
    <row r="57" ht="15.75" customHeight="1">
      <c r="F57" s="37"/>
    </row>
    <row r="58" ht="15.75" customHeight="1">
      <c r="F58" s="37"/>
    </row>
    <row r="59" ht="15.75" customHeight="1">
      <c r="F59" s="37"/>
    </row>
    <row r="60" ht="15.75" customHeight="1">
      <c r="F60" s="37"/>
    </row>
    <row r="61" ht="15.75" customHeight="1">
      <c r="F61" s="37"/>
    </row>
    <row r="62" ht="15.75" customHeight="1">
      <c r="F62" s="37"/>
    </row>
    <row r="63" ht="15.75" customHeight="1">
      <c r="F63" s="37"/>
    </row>
    <row r="64" ht="15.75" customHeight="1">
      <c r="F64" s="37"/>
    </row>
    <row r="65" ht="15.75" customHeight="1">
      <c r="F65" s="37"/>
    </row>
    <row r="66" ht="15.75" customHeight="1">
      <c r="F66" s="37"/>
    </row>
    <row r="67" ht="15.75" customHeight="1">
      <c r="F67" s="37"/>
    </row>
    <row r="68" ht="15.75" customHeight="1">
      <c r="F68" s="37"/>
    </row>
    <row r="69" ht="15.75" customHeight="1">
      <c r="F69" s="37"/>
    </row>
    <row r="70" ht="15.75" customHeight="1">
      <c r="F70" s="37"/>
    </row>
    <row r="71" ht="15.75" customHeight="1">
      <c r="F71" s="37"/>
    </row>
    <row r="72" ht="15.75" customHeight="1">
      <c r="F72" s="37"/>
    </row>
    <row r="73" ht="15.75" customHeight="1">
      <c r="F73" s="37"/>
    </row>
    <row r="74" ht="15.75" customHeight="1">
      <c r="F74" s="37"/>
    </row>
    <row r="75" ht="15.75" customHeight="1">
      <c r="F75" s="37"/>
    </row>
    <row r="76" ht="15.75" customHeight="1">
      <c r="F76" s="37"/>
    </row>
    <row r="77" ht="15.75" customHeight="1">
      <c r="F77" s="37"/>
    </row>
    <row r="78" ht="15.75" customHeight="1">
      <c r="F78" s="37"/>
    </row>
    <row r="79" ht="15.75" customHeight="1">
      <c r="F79" s="37"/>
    </row>
    <row r="80" ht="15.75" customHeight="1">
      <c r="F80" s="37"/>
    </row>
    <row r="81" ht="15.75" customHeight="1">
      <c r="F81" s="37"/>
    </row>
    <row r="82" ht="15.75" customHeight="1">
      <c r="F82" s="37"/>
    </row>
    <row r="83" ht="15.75" customHeight="1">
      <c r="F83" s="37"/>
    </row>
    <row r="84" ht="15.75" customHeight="1">
      <c r="F84" s="37"/>
    </row>
    <row r="85" ht="15.75" customHeight="1">
      <c r="F85" s="37"/>
    </row>
    <row r="86" ht="15.75" customHeight="1">
      <c r="F86" s="37"/>
    </row>
    <row r="87" ht="15.75" customHeight="1">
      <c r="F87" s="37"/>
    </row>
    <row r="88" ht="15.75" customHeight="1">
      <c r="F88" s="37"/>
    </row>
    <row r="89" ht="15.75" customHeight="1">
      <c r="F89" s="37"/>
    </row>
    <row r="90" ht="15.75" customHeight="1">
      <c r="F90" s="37"/>
    </row>
    <row r="91" ht="15.75" customHeight="1">
      <c r="F91" s="37"/>
    </row>
    <row r="92" ht="15.75" customHeight="1">
      <c r="F92" s="37"/>
    </row>
    <row r="93" ht="15.75" customHeight="1">
      <c r="F93" s="37"/>
    </row>
    <row r="94" ht="15.75" customHeight="1">
      <c r="F94" s="37"/>
    </row>
    <row r="95" ht="15.75" customHeight="1">
      <c r="F95" s="37"/>
    </row>
    <row r="96" ht="15.75" customHeight="1">
      <c r="F96" s="37"/>
    </row>
    <row r="97" ht="15.75" customHeight="1">
      <c r="F97" s="37"/>
    </row>
    <row r="98" ht="15.75" customHeight="1">
      <c r="F98" s="37"/>
    </row>
    <row r="99" ht="15.75" customHeight="1">
      <c r="F99" s="37"/>
    </row>
    <row r="100" ht="15.75" customHeight="1">
      <c r="F100" s="37"/>
    </row>
    <row r="101" ht="15.75" customHeight="1">
      <c r="F101" s="37"/>
    </row>
    <row r="102" ht="15.75" customHeight="1">
      <c r="F102" s="37"/>
    </row>
    <row r="103" ht="15.75" customHeight="1">
      <c r="F103" s="37"/>
    </row>
    <row r="104" ht="15.75" customHeight="1">
      <c r="F104" s="37"/>
    </row>
    <row r="105" ht="15.75" customHeight="1">
      <c r="F105" s="37"/>
    </row>
    <row r="106" ht="15.75" customHeight="1">
      <c r="F106" s="37"/>
    </row>
    <row r="107" ht="15.75" customHeight="1">
      <c r="F107" s="37"/>
    </row>
    <row r="108" ht="15.75" customHeight="1">
      <c r="F108" s="37"/>
    </row>
    <row r="109" ht="15.75" customHeight="1">
      <c r="F109" s="37"/>
    </row>
    <row r="110" ht="15.75" customHeight="1">
      <c r="F110" s="37"/>
    </row>
    <row r="111" ht="15.75" customHeight="1">
      <c r="F111" s="37"/>
    </row>
    <row r="112" ht="15.75" customHeight="1">
      <c r="F112" s="37"/>
    </row>
    <row r="113" ht="15.75" customHeight="1">
      <c r="F113" s="37"/>
    </row>
    <row r="114" ht="15.75" customHeight="1">
      <c r="F114" s="37"/>
    </row>
    <row r="115" ht="15.75" customHeight="1">
      <c r="F115" s="37"/>
    </row>
    <row r="116" ht="15.75" customHeight="1">
      <c r="F116" s="37"/>
    </row>
    <row r="117" ht="15.75" customHeight="1">
      <c r="F117" s="37"/>
    </row>
    <row r="118" ht="15.75" customHeight="1">
      <c r="F118" s="37"/>
    </row>
    <row r="119" ht="15.75" customHeight="1">
      <c r="F119" s="37"/>
    </row>
    <row r="120" ht="15.75" customHeight="1">
      <c r="F120" s="37"/>
    </row>
    <row r="121" ht="15.75" customHeight="1">
      <c r="F121" s="37"/>
    </row>
    <row r="122" ht="15.75" customHeight="1">
      <c r="F122" s="37"/>
    </row>
    <row r="123" ht="15.75" customHeight="1">
      <c r="F123" s="37"/>
    </row>
    <row r="124" ht="15.75" customHeight="1">
      <c r="F124" s="37"/>
    </row>
    <row r="125" ht="15.75" customHeight="1">
      <c r="F125" s="37"/>
    </row>
    <row r="126" ht="15.75" customHeight="1">
      <c r="F126" s="37"/>
    </row>
    <row r="127" ht="15.75" customHeight="1">
      <c r="F127" s="37"/>
    </row>
    <row r="128" ht="15.75" customHeight="1">
      <c r="F128" s="37"/>
    </row>
    <row r="129" ht="15.75" customHeight="1">
      <c r="F129" s="37"/>
    </row>
    <row r="130" ht="15.75" customHeight="1">
      <c r="F130" s="37"/>
    </row>
    <row r="131" ht="15.75" customHeight="1">
      <c r="F131" s="37"/>
    </row>
    <row r="132" ht="15.75" customHeight="1">
      <c r="F132" s="37"/>
    </row>
    <row r="133" ht="15.75" customHeight="1">
      <c r="F133" s="37"/>
    </row>
    <row r="134" ht="15.75" customHeight="1">
      <c r="F134" s="37"/>
    </row>
    <row r="135" ht="15.75" customHeight="1">
      <c r="F135" s="37"/>
    </row>
    <row r="136" ht="15.75" customHeight="1">
      <c r="F136" s="37"/>
    </row>
    <row r="137" ht="15.75" customHeight="1">
      <c r="F137" s="37"/>
    </row>
    <row r="138" ht="15.75" customHeight="1">
      <c r="F138" s="37"/>
    </row>
    <row r="139" ht="15.75" customHeight="1">
      <c r="F139" s="37"/>
    </row>
    <row r="140" ht="15.75" customHeight="1">
      <c r="F140" s="37"/>
    </row>
    <row r="141" ht="15.75" customHeight="1">
      <c r="F141" s="37"/>
    </row>
    <row r="142" ht="15.75" customHeight="1">
      <c r="F142" s="37"/>
    </row>
    <row r="143" ht="15.75" customHeight="1">
      <c r="F143" s="37"/>
    </row>
    <row r="144" ht="15.75" customHeight="1">
      <c r="F144" s="37"/>
    </row>
    <row r="145" ht="15.75" customHeight="1">
      <c r="F145" s="37"/>
    </row>
    <row r="146" ht="15.75" customHeight="1">
      <c r="F146" s="37"/>
    </row>
    <row r="147" ht="15.75" customHeight="1">
      <c r="F147" s="37"/>
    </row>
    <row r="148" ht="15.75" customHeight="1">
      <c r="F148" s="37"/>
    </row>
    <row r="149" ht="15.75" customHeight="1">
      <c r="F149" s="37"/>
    </row>
    <row r="150" ht="15.75" customHeight="1">
      <c r="F150" s="37"/>
    </row>
    <row r="151" ht="15.75" customHeight="1">
      <c r="F151" s="37"/>
    </row>
    <row r="152" ht="15.75" customHeight="1">
      <c r="F152" s="37"/>
    </row>
    <row r="153" ht="15.75" customHeight="1">
      <c r="F153" s="37"/>
    </row>
    <row r="154" ht="15.75" customHeight="1">
      <c r="F154" s="37"/>
    </row>
    <row r="155" ht="15.75" customHeight="1">
      <c r="F155" s="37"/>
    </row>
    <row r="156" ht="15.75" customHeight="1">
      <c r="F156" s="37"/>
    </row>
    <row r="157" ht="15.75" customHeight="1">
      <c r="F157" s="37"/>
    </row>
    <row r="158" ht="15.75" customHeight="1">
      <c r="F158" s="37"/>
    </row>
    <row r="159" ht="15.75" customHeight="1">
      <c r="F159" s="37"/>
    </row>
    <row r="160" ht="15.75" customHeight="1">
      <c r="F160" s="37"/>
    </row>
    <row r="161" ht="15.75" customHeight="1">
      <c r="F161" s="37"/>
    </row>
    <row r="162" ht="15.75" customHeight="1">
      <c r="F162" s="37"/>
    </row>
    <row r="163" ht="15.75" customHeight="1">
      <c r="F163" s="37"/>
    </row>
    <row r="164" ht="15.75" customHeight="1">
      <c r="F164" s="37"/>
    </row>
    <row r="165" ht="15.75" customHeight="1">
      <c r="F165" s="37"/>
    </row>
    <row r="166" ht="15.75" customHeight="1">
      <c r="F166" s="37"/>
    </row>
    <row r="167" ht="15.75" customHeight="1">
      <c r="F167" s="37"/>
    </row>
    <row r="168" ht="15.75" customHeight="1">
      <c r="F168" s="37"/>
    </row>
    <row r="169" ht="15.75" customHeight="1">
      <c r="F169" s="37"/>
    </row>
    <row r="170" ht="15.75" customHeight="1">
      <c r="F170" s="37"/>
    </row>
    <row r="171" ht="15.75" customHeight="1">
      <c r="F171" s="37"/>
    </row>
    <row r="172" ht="15.75" customHeight="1">
      <c r="F172" s="37"/>
    </row>
    <row r="173" ht="15.75" customHeight="1">
      <c r="F173" s="37"/>
    </row>
    <row r="174" ht="15.75" customHeight="1">
      <c r="F174" s="37"/>
    </row>
    <row r="175" ht="15.75" customHeight="1">
      <c r="F175" s="37"/>
    </row>
    <row r="176" ht="15.75" customHeight="1">
      <c r="F176" s="37"/>
    </row>
    <row r="177" ht="15.75" customHeight="1">
      <c r="F177" s="37"/>
    </row>
    <row r="178" ht="15.75" customHeight="1">
      <c r="F178" s="37"/>
    </row>
    <row r="179" ht="15.75" customHeight="1">
      <c r="F179" s="37"/>
    </row>
    <row r="180" ht="15.75" customHeight="1">
      <c r="F180" s="37"/>
    </row>
    <row r="181" ht="15.75" customHeight="1">
      <c r="F181" s="37"/>
    </row>
    <row r="182" ht="15.75" customHeight="1">
      <c r="F182" s="37"/>
    </row>
    <row r="183" ht="15.75" customHeight="1">
      <c r="F183" s="37"/>
    </row>
    <row r="184" ht="15.75" customHeight="1">
      <c r="F184" s="37"/>
    </row>
    <row r="185" ht="15.75" customHeight="1">
      <c r="F185" s="37"/>
    </row>
    <row r="186" ht="15.75" customHeight="1">
      <c r="F186" s="37"/>
    </row>
    <row r="187" ht="15.75" customHeight="1">
      <c r="F187" s="37"/>
    </row>
    <row r="188" ht="15.75" customHeight="1">
      <c r="F188" s="37"/>
    </row>
    <row r="189" ht="15.75" customHeight="1">
      <c r="F189" s="37"/>
    </row>
    <row r="190" ht="15.75" customHeight="1">
      <c r="F190" s="37"/>
    </row>
    <row r="191" ht="15.75" customHeight="1">
      <c r="F191" s="37"/>
    </row>
    <row r="192" ht="15.75" customHeight="1">
      <c r="F192" s="37"/>
    </row>
    <row r="193" ht="15.75" customHeight="1">
      <c r="F193" s="37"/>
    </row>
    <row r="194" ht="15.75" customHeight="1">
      <c r="F194" s="37"/>
    </row>
    <row r="195" ht="15.75" customHeight="1">
      <c r="F195" s="37"/>
    </row>
    <row r="196" ht="15.75" customHeight="1">
      <c r="F196" s="37"/>
    </row>
    <row r="197" ht="15.75" customHeight="1">
      <c r="F197" s="37"/>
    </row>
    <row r="198" ht="15.75" customHeight="1">
      <c r="F198" s="37"/>
    </row>
    <row r="199" ht="15.75" customHeight="1">
      <c r="F199" s="37"/>
    </row>
    <row r="200" ht="15.75" customHeight="1">
      <c r="F200" s="37"/>
    </row>
    <row r="201" ht="15.75" customHeight="1">
      <c r="F201" s="37"/>
    </row>
    <row r="202" ht="15.75" customHeight="1">
      <c r="F202" s="37"/>
    </row>
    <row r="203" ht="15.75" customHeight="1">
      <c r="F203" s="37"/>
    </row>
    <row r="204" ht="15.75" customHeight="1">
      <c r="F204" s="37"/>
    </row>
    <row r="205" ht="15.75" customHeight="1">
      <c r="F205" s="37"/>
    </row>
    <row r="206" ht="15.75" customHeight="1">
      <c r="F206" s="37"/>
    </row>
    <row r="207" ht="15.75" customHeight="1">
      <c r="F207" s="37"/>
    </row>
    <row r="208" ht="15.75" customHeight="1">
      <c r="F208" s="37"/>
    </row>
    <row r="209" ht="15.75" customHeight="1">
      <c r="F209" s="37"/>
    </row>
    <row r="210" ht="15.75" customHeight="1">
      <c r="F210" s="37"/>
    </row>
    <row r="211" ht="15.75" customHeight="1">
      <c r="F211" s="37"/>
    </row>
    <row r="212" ht="15.75" customHeight="1">
      <c r="F212" s="37"/>
    </row>
    <row r="213" ht="15.75" customHeight="1">
      <c r="F213" s="37"/>
    </row>
    <row r="214" ht="15.75" customHeight="1">
      <c r="F214" s="37"/>
    </row>
    <row r="215" ht="15.75" customHeight="1">
      <c r="F215" s="37"/>
    </row>
    <row r="216" ht="15.75" customHeight="1">
      <c r="F216" s="37"/>
    </row>
    <row r="217" ht="15.75" customHeight="1">
      <c r="F217" s="37"/>
    </row>
    <row r="218" ht="15.75" customHeight="1">
      <c r="F218" s="37"/>
    </row>
    <row r="219" ht="15.75" customHeight="1">
      <c r="F219" s="37"/>
    </row>
    <row r="220" ht="15.75" customHeight="1">
      <c r="F220" s="37"/>
    </row>
    <row r="221" ht="15.75" customHeight="1">
      <c r="F221" s="37"/>
    </row>
    <row r="222" ht="15.75" customHeight="1">
      <c r="F222" s="37"/>
    </row>
    <row r="223" ht="15.75" customHeight="1">
      <c r="F223" s="37"/>
    </row>
    <row r="224" ht="15.75" customHeight="1">
      <c r="F224" s="37"/>
    </row>
    <row r="225" ht="15.75" customHeight="1">
      <c r="F225" s="37"/>
    </row>
    <row r="226" ht="15.75" customHeight="1">
      <c r="F226" s="37"/>
    </row>
    <row r="227" ht="15.75" customHeight="1">
      <c r="F227" s="37"/>
    </row>
    <row r="228" ht="15.75" customHeight="1">
      <c r="F228" s="37"/>
    </row>
    <row r="229" ht="15.75" customHeight="1">
      <c r="F229" s="37"/>
    </row>
    <row r="230" ht="15.75" customHeight="1">
      <c r="F230" s="37"/>
    </row>
    <row r="231" ht="15.75" customHeight="1">
      <c r="F231" s="37"/>
    </row>
    <row r="232" ht="15.75" customHeight="1">
      <c r="F232" s="37"/>
    </row>
    <row r="233" ht="15.75" customHeight="1">
      <c r="F233" s="37"/>
    </row>
    <row r="234" ht="15.75" customHeight="1">
      <c r="F234" s="37"/>
    </row>
    <row r="235" ht="15.75" customHeight="1">
      <c r="F235" s="37"/>
    </row>
    <row r="236" ht="15.75" customHeight="1">
      <c r="F236" s="37"/>
    </row>
    <row r="237" ht="15.75" customHeight="1">
      <c r="F237" s="37"/>
    </row>
    <row r="238" ht="15.75" customHeight="1">
      <c r="F238" s="37"/>
    </row>
    <row r="239" ht="15.75" customHeight="1">
      <c r="F239" s="37"/>
    </row>
    <row r="240" ht="15.75" customHeight="1">
      <c r="F240" s="37"/>
    </row>
    <row r="241" ht="15.75" customHeight="1">
      <c r="F241" s="37"/>
    </row>
    <row r="242" ht="15.75" customHeight="1">
      <c r="F242" s="37"/>
    </row>
    <row r="243" ht="15.75" customHeight="1">
      <c r="F243" s="37"/>
    </row>
    <row r="244" ht="15.75" customHeight="1">
      <c r="F244" s="37"/>
    </row>
    <row r="245" ht="15.75" customHeight="1">
      <c r="F245" s="37"/>
    </row>
    <row r="246" ht="15.75" customHeight="1">
      <c r="F246" s="37"/>
    </row>
    <row r="247" ht="15.75" customHeight="1">
      <c r="F247" s="37"/>
    </row>
    <row r="248" ht="15.75" customHeight="1">
      <c r="F248" s="37"/>
    </row>
    <row r="249" ht="15.75" customHeight="1">
      <c r="F249" s="37"/>
    </row>
    <row r="250" ht="15.75" customHeight="1">
      <c r="F250" s="37"/>
    </row>
    <row r="251" ht="15.75" customHeight="1">
      <c r="F251" s="37"/>
    </row>
    <row r="252" ht="15.75" customHeight="1">
      <c r="F252" s="37"/>
    </row>
    <row r="253" ht="15.75" customHeight="1">
      <c r="F253" s="37"/>
    </row>
    <row r="254" ht="15.75" customHeight="1">
      <c r="F254" s="37"/>
    </row>
    <row r="255" ht="15.75" customHeight="1">
      <c r="F255" s="37"/>
    </row>
    <row r="256" ht="15.75" customHeight="1">
      <c r="F256" s="37"/>
    </row>
    <row r="257" ht="15.75" customHeight="1">
      <c r="F257" s="37"/>
    </row>
    <row r="258" ht="15.75" customHeight="1">
      <c r="F258" s="37"/>
    </row>
    <row r="259" ht="15.75" customHeight="1">
      <c r="F259" s="37"/>
    </row>
    <row r="260" ht="15.75" customHeight="1">
      <c r="F260" s="37"/>
    </row>
    <row r="261" ht="15.75" customHeight="1">
      <c r="F261" s="37"/>
    </row>
    <row r="262" ht="15.75" customHeight="1">
      <c r="F262" s="37"/>
    </row>
    <row r="263" ht="15.75" customHeight="1">
      <c r="F263" s="37"/>
    </row>
    <row r="264" ht="15.75" customHeight="1">
      <c r="F264" s="37"/>
    </row>
    <row r="265" ht="15.75" customHeight="1">
      <c r="F265" s="37"/>
    </row>
    <row r="266" ht="15.75" customHeight="1">
      <c r="F266" s="37"/>
    </row>
    <row r="267" ht="15.75" customHeight="1">
      <c r="F267" s="37"/>
    </row>
    <row r="268" ht="15.75" customHeight="1">
      <c r="F268" s="37"/>
    </row>
    <row r="269" ht="15.75" customHeight="1">
      <c r="F269" s="37"/>
    </row>
    <row r="270" ht="15.75" customHeight="1">
      <c r="F270" s="37"/>
    </row>
    <row r="271" ht="15.75" customHeight="1">
      <c r="F271" s="37"/>
    </row>
    <row r="272" ht="15.75" customHeight="1">
      <c r="F272" s="37"/>
    </row>
    <row r="273" ht="15.75" customHeight="1">
      <c r="F273" s="37"/>
    </row>
    <row r="274" ht="15.75" customHeight="1">
      <c r="F274" s="37"/>
    </row>
    <row r="275" ht="15.75" customHeight="1">
      <c r="F275" s="37"/>
    </row>
    <row r="276" ht="15.75" customHeight="1">
      <c r="F276" s="37"/>
    </row>
    <row r="277" ht="15.75" customHeight="1">
      <c r="F277" s="37"/>
    </row>
    <row r="278" ht="15.75" customHeight="1">
      <c r="F278" s="37"/>
    </row>
    <row r="279" ht="15.75" customHeight="1">
      <c r="F279" s="37"/>
    </row>
    <row r="280" ht="15.75" customHeight="1">
      <c r="F280" s="37"/>
    </row>
    <row r="281" ht="15.75" customHeight="1">
      <c r="F281" s="37"/>
    </row>
    <row r="282" ht="15.75" customHeight="1">
      <c r="F282" s="37"/>
    </row>
    <row r="283" ht="15.75" customHeight="1">
      <c r="F283" s="37"/>
    </row>
    <row r="284" ht="15.75" customHeight="1">
      <c r="F284" s="37"/>
    </row>
    <row r="285" ht="15.75" customHeight="1">
      <c r="F285" s="37"/>
    </row>
    <row r="286" ht="15.75" customHeight="1">
      <c r="F286" s="37"/>
    </row>
    <row r="287" ht="15.75" customHeight="1">
      <c r="F287" s="37"/>
    </row>
    <row r="288" ht="15.75" customHeight="1">
      <c r="F288" s="37"/>
    </row>
    <row r="289" ht="15.75" customHeight="1">
      <c r="F289" s="37"/>
    </row>
    <row r="290" ht="15.75" customHeight="1">
      <c r="F290" s="37"/>
    </row>
    <row r="291" ht="15.75" customHeight="1">
      <c r="F291" s="37"/>
    </row>
    <row r="292" ht="15.75" customHeight="1">
      <c r="F292" s="37"/>
    </row>
    <row r="293" ht="15.75" customHeight="1">
      <c r="F293" s="37"/>
    </row>
    <row r="294" ht="15.75" customHeight="1">
      <c r="F294" s="37"/>
    </row>
    <row r="295" ht="15.75" customHeight="1">
      <c r="F295" s="37"/>
    </row>
    <row r="296" ht="15.75" customHeight="1">
      <c r="F296" s="37"/>
    </row>
    <row r="297" ht="15.75" customHeight="1">
      <c r="F297" s="37"/>
    </row>
    <row r="298" ht="15.75" customHeight="1">
      <c r="F298" s="37"/>
    </row>
    <row r="299" ht="15.75" customHeight="1">
      <c r="F299" s="37"/>
    </row>
    <row r="300" ht="15.75" customHeight="1">
      <c r="F300" s="37"/>
    </row>
    <row r="301" ht="15.75" customHeight="1">
      <c r="F301" s="37"/>
    </row>
    <row r="302" ht="15.75" customHeight="1">
      <c r="F302" s="37"/>
    </row>
    <row r="303" ht="15.75" customHeight="1">
      <c r="F303" s="37"/>
    </row>
    <row r="304" ht="15.75" customHeight="1">
      <c r="F304" s="37"/>
    </row>
    <row r="305" ht="15.75" customHeight="1">
      <c r="F305" s="37"/>
    </row>
    <row r="306" ht="15.75" customHeight="1">
      <c r="F306" s="37"/>
    </row>
    <row r="307" ht="15.75" customHeight="1">
      <c r="F307" s="37"/>
    </row>
    <row r="308" ht="15.75" customHeight="1">
      <c r="F308" s="37"/>
    </row>
    <row r="309" ht="15.75" customHeight="1">
      <c r="F309" s="37"/>
    </row>
    <row r="310" ht="15.75" customHeight="1">
      <c r="F310" s="37"/>
    </row>
    <row r="311" ht="15.75" customHeight="1">
      <c r="F311" s="37"/>
    </row>
    <row r="312" ht="15.75" customHeight="1">
      <c r="F312" s="37"/>
    </row>
    <row r="313" ht="15.75" customHeight="1">
      <c r="F313" s="37"/>
    </row>
    <row r="314" ht="15.75" customHeight="1">
      <c r="F314" s="37"/>
    </row>
    <row r="315" ht="15.75" customHeight="1">
      <c r="F315" s="37"/>
    </row>
    <row r="316" ht="15.75" customHeight="1">
      <c r="F316" s="37"/>
    </row>
    <row r="317" ht="15.75" customHeight="1">
      <c r="F317" s="37"/>
    </row>
    <row r="318" ht="15.75" customHeight="1">
      <c r="F318" s="37"/>
    </row>
    <row r="319" ht="15.75" customHeight="1">
      <c r="F319" s="37"/>
    </row>
    <row r="320" ht="15.75" customHeight="1">
      <c r="F320" s="37"/>
    </row>
    <row r="321" ht="15.75" customHeight="1">
      <c r="F321" s="37"/>
    </row>
    <row r="322" ht="15.75" customHeight="1">
      <c r="F322" s="37"/>
    </row>
    <row r="323" ht="15.75" customHeight="1">
      <c r="F323" s="37"/>
    </row>
    <row r="324" ht="15.75" customHeight="1">
      <c r="F324" s="37"/>
    </row>
    <row r="325" ht="15.75" customHeight="1">
      <c r="F325" s="37"/>
    </row>
    <row r="326" ht="15.75" customHeight="1">
      <c r="F326" s="37"/>
    </row>
    <row r="327" ht="15.75" customHeight="1">
      <c r="F327" s="37"/>
    </row>
    <row r="328" ht="15.75" customHeight="1">
      <c r="F328" s="37"/>
    </row>
    <row r="329" ht="15.75" customHeight="1">
      <c r="F329" s="37"/>
    </row>
    <row r="330" ht="15.75" customHeight="1">
      <c r="F330" s="37"/>
    </row>
    <row r="331" ht="15.75" customHeight="1">
      <c r="F331" s="37"/>
    </row>
    <row r="332" ht="15.75" customHeight="1">
      <c r="F332" s="37"/>
    </row>
    <row r="333" ht="15.75" customHeight="1">
      <c r="F333" s="37"/>
    </row>
    <row r="334" ht="15.75" customHeight="1">
      <c r="F334" s="37"/>
    </row>
    <row r="335" ht="15.75" customHeight="1">
      <c r="F335" s="37"/>
    </row>
    <row r="336" ht="15.75" customHeight="1">
      <c r="F336" s="37"/>
    </row>
    <row r="337" ht="15.75" customHeight="1">
      <c r="F337" s="37"/>
    </row>
    <row r="338" ht="15.75" customHeight="1">
      <c r="F338" s="37"/>
    </row>
    <row r="339" ht="15.75" customHeight="1">
      <c r="F339" s="37"/>
    </row>
    <row r="340" ht="15.75" customHeight="1">
      <c r="F340" s="37"/>
    </row>
    <row r="341" ht="15.75" customHeight="1">
      <c r="F341" s="37"/>
    </row>
    <row r="342" ht="15.75" customHeight="1">
      <c r="F342" s="37"/>
    </row>
    <row r="343" ht="15.75" customHeight="1">
      <c r="F343" s="37"/>
    </row>
    <row r="344" ht="15.75" customHeight="1">
      <c r="F344" s="37"/>
    </row>
    <row r="345" ht="15.75" customHeight="1">
      <c r="F345" s="37"/>
    </row>
    <row r="346" ht="15.75" customHeight="1">
      <c r="F346" s="37"/>
    </row>
    <row r="347" ht="15.75" customHeight="1">
      <c r="F347" s="37"/>
    </row>
    <row r="348" ht="15.75" customHeight="1">
      <c r="F348" s="37"/>
    </row>
    <row r="349" ht="15.75" customHeight="1">
      <c r="F349" s="37"/>
    </row>
    <row r="350" ht="15.75" customHeight="1">
      <c r="F350" s="37"/>
    </row>
    <row r="351" ht="15.75" customHeight="1">
      <c r="F351" s="37"/>
    </row>
    <row r="352" ht="15.75" customHeight="1">
      <c r="F352" s="37"/>
    </row>
    <row r="353" ht="15.75" customHeight="1">
      <c r="F353" s="37"/>
    </row>
    <row r="354" ht="15.75" customHeight="1">
      <c r="F354" s="37"/>
    </row>
    <row r="355" ht="15.75" customHeight="1">
      <c r="F355" s="37"/>
    </row>
    <row r="356" ht="15.75" customHeight="1">
      <c r="F356" s="37"/>
    </row>
    <row r="357" ht="15.75" customHeight="1">
      <c r="F357" s="37"/>
    </row>
    <row r="358" ht="15.75" customHeight="1">
      <c r="F358" s="37"/>
    </row>
    <row r="359" ht="15.75" customHeight="1">
      <c r="F359" s="37"/>
    </row>
    <row r="360" ht="15.75" customHeight="1">
      <c r="F360" s="37"/>
    </row>
    <row r="361" ht="15.75" customHeight="1">
      <c r="F361" s="37"/>
    </row>
    <row r="362" ht="15.75" customHeight="1">
      <c r="F362" s="37"/>
    </row>
    <row r="363" ht="15.75" customHeight="1">
      <c r="F363" s="37"/>
    </row>
    <row r="364" ht="15.75" customHeight="1">
      <c r="F364" s="37"/>
    </row>
    <row r="365" ht="15.75" customHeight="1">
      <c r="F365" s="37"/>
    </row>
    <row r="366" ht="15.75" customHeight="1">
      <c r="F366" s="37"/>
    </row>
    <row r="367" ht="15.75" customHeight="1">
      <c r="F367" s="37"/>
    </row>
    <row r="368" ht="15.75" customHeight="1">
      <c r="F368" s="37"/>
    </row>
    <row r="369" ht="15.75" customHeight="1">
      <c r="F369" s="37"/>
    </row>
    <row r="370" ht="15.75" customHeight="1">
      <c r="F370" s="37"/>
    </row>
    <row r="371" ht="15.75" customHeight="1">
      <c r="F371" s="37"/>
    </row>
    <row r="372" ht="15.75" customHeight="1">
      <c r="F372" s="37"/>
    </row>
    <row r="373" ht="15.75" customHeight="1">
      <c r="F373" s="37"/>
    </row>
    <row r="374" ht="15.75" customHeight="1">
      <c r="F374" s="37"/>
    </row>
    <row r="375" ht="15.75" customHeight="1">
      <c r="F375" s="37"/>
    </row>
    <row r="376" ht="15.75" customHeight="1">
      <c r="F376" s="37"/>
    </row>
    <row r="377" ht="15.75" customHeight="1">
      <c r="F377" s="37"/>
    </row>
    <row r="378" ht="15.75" customHeight="1">
      <c r="F378" s="37"/>
    </row>
    <row r="379" ht="15.75" customHeight="1">
      <c r="F379" s="37"/>
    </row>
    <row r="380" ht="15.75" customHeight="1">
      <c r="F380" s="37"/>
    </row>
    <row r="381" ht="15.75" customHeight="1">
      <c r="F381" s="37"/>
    </row>
    <row r="382" ht="15.75" customHeight="1">
      <c r="F382" s="37"/>
    </row>
    <row r="383" ht="15.75" customHeight="1">
      <c r="F383" s="37"/>
    </row>
    <row r="384" ht="15.75" customHeight="1">
      <c r="F384" s="37"/>
    </row>
    <row r="385" ht="15.75" customHeight="1">
      <c r="F385" s="37"/>
    </row>
    <row r="386" ht="15.75" customHeight="1">
      <c r="F386" s="37"/>
    </row>
    <row r="387" ht="15.75" customHeight="1">
      <c r="F387" s="37"/>
    </row>
    <row r="388" ht="15.75" customHeight="1">
      <c r="F388" s="37"/>
    </row>
    <row r="389" ht="15.75" customHeight="1">
      <c r="F389" s="37"/>
    </row>
    <row r="390" ht="15.75" customHeight="1">
      <c r="F390" s="37"/>
    </row>
    <row r="391" ht="15.75" customHeight="1">
      <c r="F391" s="37"/>
    </row>
    <row r="392" ht="15.75" customHeight="1">
      <c r="F392" s="37"/>
    </row>
    <row r="393" ht="15.75" customHeight="1">
      <c r="F393" s="37"/>
    </row>
    <row r="394" ht="15.75" customHeight="1">
      <c r="F394" s="37"/>
    </row>
    <row r="395" ht="15.75" customHeight="1">
      <c r="F395" s="37"/>
    </row>
    <row r="396" ht="15.75" customHeight="1">
      <c r="F396" s="37"/>
    </row>
    <row r="397" ht="15.75" customHeight="1">
      <c r="F397" s="37"/>
    </row>
    <row r="398" ht="15.75" customHeight="1">
      <c r="F398" s="37"/>
    </row>
    <row r="399" ht="15.75" customHeight="1">
      <c r="F399" s="37"/>
    </row>
    <row r="400" ht="15.75" customHeight="1">
      <c r="F400" s="37"/>
    </row>
    <row r="401" ht="15.75" customHeight="1">
      <c r="F401" s="37"/>
    </row>
    <row r="402" ht="15.75" customHeight="1">
      <c r="F402" s="37"/>
    </row>
    <row r="403" ht="15.75" customHeight="1">
      <c r="F403" s="37"/>
    </row>
    <row r="404" ht="15.75" customHeight="1">
      <c r="F404" s="37"/>
    </row>
    <row r="405" ht="15.75" customHeight="1">
      <c r="F405" s="37"/>
    </row>
    <row r="406" ht="15.75" customHeight="1">
      <c r="F406" s="37"/>
    </row>
    <row r="407" ht="15.75" customHeight="1">
      <c r="F407" s="37"/>
    </row>
    <row r="408" ht="15.75" customHeight="1">
      <c r="F408" s="37"/>
    </row>
    <row r="409" ht="15.75" customHeight="1">
      <c r="F409" s="37"/>
    </row>
    <row r="410" ht="15.75" customHeight="1">
      <c r="F410" s="37"/>
    </row>
    <row r="411" ht="15.75" customHeight="1">
      <c r="F411" s="37"/>
    </row>
    <row r="412" ht="15.75" customHeight="1">
      <c r="F412" s="37"/>
    </row>
    <row r="413" ht="15.75" customHeight="1">
      <c r="F413" s="37"/>
    </row>
    <row r="414" ht="15.75" customHeight="1">
      <c r="F414" s="37"/>
    </row>
    <row r="415" ht="15.75" customHeight="1">
      <c r="F415" s="37"/>
    </row>
    <row r="416" ht="15.75" customHeight="1">
      <c r="F416" s="37"/>
    </row>
    <row r="417" ht="15.75" customHeight="1">
      <c r="F417" s="37"/>
    </row>
    <row r="418" ht="15.75" customHeight="1">
      <c r="F418" s="37"/>
    </row>
    <row r="419" ht="15.75" customHeight="1">
      <c r="F419" s="37"/>
    </row>
    <row r="420" ht="15.75" customHeight="1">
      <c r="F420" s="37"/>
    </row>
    <row r="421" ht="15.75" customHeight="1">
      <c r="F421" s="37"/>
    </row>
    <row r="422" ht="15.75" customHeight="1">
      <c r="F422" s="37"/>
    </row>
    <row r="423" ht="15.75" customHeight="1">
      <c r="F423" s="37"/>
    </row>
    <row r="424" ht="15.75" customHeight="1">
      <c r="F424" s="37"/>
    </row>
    <row r="425" ht="15.75" customHeight="1">
      <c r="F425" s="37"/>
    </row>
    <row r="426" ht="15.75" customHeight="1">
      <c r="F426" s="37"/>
    </row>
    <row r="427" ht="15.75" customHeight="1">
      <c r="F427" s="37"/>
    </row>
    <row r="428" ht="15.75" customHeight="1">
      <c r="F428" s="37"/>
    </row>
    <row r="429" ht="15.75" customHeight="1">
      <c r="F429" s="37"/>
    </row>
    <row r="430" ht="15.75" customHeight="1">
      <c r="F430" s="37"/>
    </row>
    <row r="431" ht="15.75" customHeight="1">
      <c r="F431" s="37"/>
    </row>
    <row r="432" ht="15.75" customHeight="1">
      <c r="F432" s="37"/>
    </row>
    <row r="433" ht="15.75" customHeight="1">
      <c r="F433" s="37"/>
    </row>
    <row r="434" ht="15.75" customHeight="1">
      <c r="F434" s="37"/>
    </row>
    <row r="435" ht="15.75" customHeight="1">
      <c r="F435" s="37"/>
    </row>
    <row r="436" ht="15.75" customHeight="1">
      <c r="F436" s="37"/>
    </row>
    <row r="437" ht="15.75" customHeight="1">
      <c r="F437" s="37"/>
    </row>
    <row r="438" ht="15.75" customHeight="1">
      <c r="F438" s="37"/>
    </row>
    <row r="439" ht="15.75" customHeight="1">
      <c r="F439" s="37"/>
    </row>
    <row r="440" ht="15.75" customHeight="1">
      <c r="F440" s="37"/>
    </row>
    <row r="441" ht="15.75" customHeight="1">
      <c r="F441" s="37"/>
    </row>
    <row r="442" ht="15.75" customHeight="1">
      <c r="F442" s="37"/>
    </row>
    <row r="443" ht="15.75" customHeight="1">
      <c r="F443" s="37"/>
    </row>
    <row r="444" ht="15.75" customHeight="1">
      <c r="F444" s="37"/>
    </row>
    <row r="445" ht="15.75" customHeight="1">
      <c r="F445" s="37"/>
    </row>
    <row r="446" ht="15.75" customHeight="1">
      <c r="F446" s="37"/>
    </row>
    <row r="447" ht="15.75" customHeight="1">
      <c r="F447" s="37"/>
    </row>
    <row r="448" ht="15.75" customHeight="1">
      <c r="F448" s="37"/>
    </row>
    <row r="449" ht="15.75" customHeight="1">
      <c r="F449" s="37"/>
    </row>
    <row r="450" ht="15.75" customHeight="1">
      <c r="F450" s="37"/>
    </row>
    <row r="451" ht="15.75" customHeight="1">
      <c r="F451" s="37"/>
    </row>
    <row r="452" ht="15.75" customHeight="1">
      <c r="F452" s="37"/>
    </row>
    <row r="453" ht="15.75" customHeight="1">
      <c r="F453" s="37"/>
    </row>
    <row r="454" ht="15.75" customHeight="1">
      <c r="F454" s="37"/>
    </row>
    <row r="455" ht="15.75" customHeight="1">
      <c r="F455" s="37"/>
    </row>
    <row r="456" ht="15.75" customHeight="1">
      <c r="F456" s="37"/>
    </row>
    <row r="457" ht="15.75" customHeight="1">
      <c r="F457" s="37"/>
    </row>
    <row r="458" ht="15.75" customHeight="1">
      <c r="F458" s="37"/>
    </row>
    <row r="459" ht="15.75" customHeight="1">
      <c r="F459" s="37"/>
    </row>
    <row r="460" ht="15.75" customHeight="1">
      <c r="F460" s="37"/>
    </row>
    <row r="461" ht="15.75" customHeight="1">
      <c r="F461" s="37"/>
    </row>
    <row r="462" ht="15.75" customHeight="1">
      <c r="F462" s="37"/>
    </row>
    <row r="463" ht="15.75" customHeight="1">
      <c r="F463" s="37"/>
    </row>
    <row r="464" ht="15.75" customHeight="1">
      <c r="F464" s="37"/>
    </row>
    <row r="465" ht="15.75" customHeight="1">
      <c r="F465" s="37"/>
    </row>
    <row r="466" ht="15.75" customHeight="1">
      <c r="F466" s="37"/>
    </row>
    <row r="467" ht="15.75" customHeight="1">
      <c r="F467" s="37"/>
    </row>
    <row r="468" ht="15.75" customHeight="1">
      <c r="F468" s="37"/>
    </row>
    <row r="469" ht="15.75" customHeight="1">
      <c r="F469" s="37"/>
    </row>
    <row r="470" ht="15.75" customHeight="1">
      <c r="F470" s="37"/>
    </row>
    <row r="471" ht="15.75" customHeight="1">
      <c r="F471" s="37"/>
    </row>
    <row r="472" ht="15.75" customHeight="1">
      <c r="F472" s="37"/>
    </row>
    <row r="473" ht="15.75" customHeight="1">
      <c r="F473" s="37"/>
    </row>
    <row r="474" ht="15.75" customHeight="1">
      <c r="F474" s="37"/>
    </row>
    <row r="475" ht="15.75" customHeight="1">
      <c r="F475" s="37"/>
    </row>
    <row r="476" ht="15.75" customHeight="1">
      <c r="F476" s="37"/>
    </row>
    <row r="477" ht="15.75" customHeight="1">
      <c r="F477" s="37"/>
    </row>
    <row r="478" ht="15.75" customHeight="1">
      <c r="F478" s="37"/>
    </row>
    <row r="479" ht="15.75" customHeight="1">
      <c r="F479" s="37"/>
    </row>
    <row r="480" ht="15.75" customHeight="1">
      <c r="F480" s="37"/>
    </row>
    <row r="481" ht="15.75" customHeight="1">
      <c r="F481" s="37"/>
    </row>
    <row r="482" ht="15.75" customHeight="1">
      <c r="F482" s="37"/>
    </row>
    <row r="483" ht="15.75" customHeight="1">
      <c r="F483" s="37"/>
    </row>
    <row r="484" ht="15.75" customHeight="1">
      <c r="F484" s="37"/>
    </row>
    <row r="485" ht="15.75" customHeight="1">
      <c r="F485" s="37"/>
    </row>
    <row r="486" ht="15.75" customHeight="1">
      <c r="F486" s="37"/>
    </row>
    <row r="487" ht="15.75" customHeight="1">
      <c r="F487" s="37"/>
    </row>
    <row r="488" ht="15.75" customHeight="1">
      <c r="F488" s="37"/>
    </row>
    <row r="489" ht="15.75" customHeight="1">
      <c r="F489" s="37"/>
    </row>
    <row r="490" ht="15.75" customHeight="1">
      <c r="F490" s="37"/>
    </row>
    <row r="491" ht="15.75" customHeight="1">
      <c r="F491" s="37"/>
    </row>
    <row r="492" ht="15.75" customHeight="1">
      <c r="F492" s="37"/>
    </row>
    <row r="493" ht="15.75" customHeight="1">
      <c r="F493" s="37"/>
    </row>
    <row r="494" ht="15.75" customHeight="1">
      <c r="F494" s="37"/>
    </row>
    <row r="495" ht="15.75" customHeight="1">
      <c r="F495" s="37"/>
    </row>
    <row r="496" ht="15.75" customHeight="1">
      <c r="F496" s="37"/>
    </row>
    <row r="497" ht="15.75" customHeight="1">
      <c r="F497" s="37"/>
    </row>
    <row r="498" ht="15.75" customHeight="1">
      <c r="F498" s="37"/>
    </row>
    <row r="499" ht="15.75" customHeight="1">
      <c r="F499" s="37"/>
    </row>
    <row r="500" ht="15.75" customHeight="1">
      <c r="F500" s="37"/>
    </row>
    <row r="501" ht="15.75" customHeight="1">
      <c r="F501" s="37"/>
    </row>
    <row r="502" ht="15.75" customHeight="1">
      <c r="F502" s="37"/>
    </row>
    <row r="503" ht="15.75" customHeight="1">
      <c r="F503" s="37"/>
    </row>
    <row r="504" ht="15.75" customHeight="1">
      <c r="F504" s="37"/>
    </row>
    <row r="505" ht="15.75" customHeight="1">
      <c r="F505" s="37"/>
    </row>
    <row r="506" ht="15.75" customHeight="1">
      <c r="F506" s="37"/>
    </row>
    <row r="507" ht="15.75" customHeight="1">
      <c r="F507" s="37"/>
    </row>
    <row r="508" ht="15.75" customHeight="1">
      <c r="F508" s="37"/>
    </row>
    <row r="509" ht="15.75" customHeight="1">
      <c r="F509" s="37"/>
    </row>
    <row r="510" ht="15.75" customHeight="1">
      <c r="F510" s="37"/>
    </row>
    <row r="511" ht="15.75" customHeight="1">
      <c r="F511" s="37"/>
    </row>
    <row r="512" ht="15.75" customHeight="1">
      <c r="F512" s="37"/>
    </row>
    <row r="513" ht="15.75" customHeight="1">
      <c r="F513" s="37"/>
    </row>
    <row r="514" ht="15.75" customHeight="1">
      <c r="F514" s="37"/>
    </row>
    <row r="515" ht="15.75" customHeight="1">
      <c r="F515" s="37"/>
    </row>
    <row r="516" ht="15.75" customHeight="1">
      <c r="F516" s="37"/>
    </row>
    <row r="517" ht="15.75" customHeight="1">
      <c r="F517" s="37"/>
    </row>
    <row r="518" ht="15.75" customHeight="1">
      <c r="F518" s="37"/>
    </row>
    <row r="519" ht="15.75" customHeight="1">
      <c r="F519" s="37"/>
    </row>
    <row r="520" ht="15.75" customHeight="1">
      <c r="F520" s="37"/>
    </row>
    <row r="521" ht="15.75" customHeight="1">
      <c r="F521" s="37"/>
    </row>
    <row r="522" ht="15.75" customHeight="1">
      <c r="F522" s="37"/>
    </row>
    <row r="523" ht="15.75" customHeight="1">
      <c r="F523" s="37"/>
    </row>
    <row r="524" ht="15.75" customHeight="1">
      <c r="F524" s="37"/>
    </row>
    <row r="525" ht="15.75" customHeight="1">
      <c r="F525" s="37"/>
    </row>
    <row r="526" ht="15.75" customHeight="1">
      <c r="F526" s="37"/>
    </row>
    <row r="527" ht="15.75" customHeight="1">
      <c r="F527" s="37"/>
    </row>
    <row r="528" ht="15.75" customHeight="1">
      <c r="F528" s="37"/>
    </row>
    <row r="529" ht="15.75" customHeight="1">
      <c r="F529" s="37"/>
    </row>
    <row r="530" ht="15.75" customHeight="1">
      <c r="F530" s="37"/>
    </row>
    <row r="531" ht="15.75" customHeight="1">
      <c r="F531" s="37"/>
    </row>
    <row r="532" ht="15.75" customHeight="1">
      <c r="F532" s="37"/>
    </row>
    <row r="533" ht="15.75" customHeight="1">
      <c r="F533" s="37"/>
    </row>
    <row r="534" ht="15.75" customHeight="1">
      <c r="F534" s="37"/>
    </row>
    <row r="535" ht="15.75" customHeight="1">
      <c r="F535" s="37"/>
    </row>
    <row r="536" ht="15.75" customHeight="1">
      <c r="F536" s="37"/>
    </row>
    <row r="537" ht="15.75" customHeight="1">
      <c r="F537" s="37"/>
    </row>
    <row r="538" ht="15.75" customHeight="1">
      <c r="F538" s="37"/>
    </row>
    <row r="539" ht="15.75" customHeight="1">
      <c r="F539" s="37"/>
    </row>
    <row r="540" ht="15.75" customHeight="1">
      <c r="F540" s="37"/>
    </row>
    <row r="541" ht="15.75" customHeight="1">
      <c r="F541" s="37"/>
    </row>
    <row r="542" ht="15.75" customHeight="1">
      <c r="F542" s="37"/>
    </row>
    <row r="543" ht="15.75" customHeight="1">
      <c r="F543" s="37"/>
    </row>
    <row r="544" ht="15.75" customHeight="1">
      <c r="F544" s="37"/>
    </row>
    <row r="545" ht="15.75" customHeight="1">
      <c r="F545" s="37"/>
    </row>
    <row r="546" ht="15.75" customHeight="1">
      <c r="F546" s="37"/>
    </row>
    <row r="547" ht="15.75" customHeight="1">
      <c r="F547" s="37"/>
    </row>
    <row r="548" ht="15.75" customHeight="1">
      <c r="F548" s="37"/>
    </row>
    <row r="549" ht="15.75" customHeight="1">
      <c r="F549" s="37"/>
    </row>
    <row r="550" ht="15.75" customHeight="1">
      <c r="F550" s="37"/>
    </row>
    <row r="551" ht="15.75" customHeight="1">
      <c r="F551" s="37"/>
    </row>
    <row r="552" ht="15.75" customHeight="1">
      <c r="F552" s="37"/>
    </row>
    <row r="553" ht="15.75" customHeight="1">
      <c r="F553" s="37"/>
    </row>
    <row r="554" ht="15.75" customHeight="1">
      <c r="F554" s="37"/>
    </row>
    <row r="555" ht="15.75" customHeight="1">
      <c r="F555" s="37"/>
    </row>
    <row r="556" ht="15.75" customHeight="1">
      <c r="F556" s="37"/>
    </row>
    <row r="557" ht="15.75" customHeight="1">
      <c r="F557" s="37"/>
    </row>
    <row r="558" ht="15.75" customHeight="1">
      <c r="F558" s="37"/>
    </row>
    <row r="559" ht="15.75" customHeight="1">
      <c r="F559" s="37"/>
    </row>
    <row r="560" ht="15.75" customHeight="1">
      <c r="F560" s="37"/>
    </row>
    <row r="561" ht="15.75" customHeight="1">
      <c r="F561" s="37"/>
    </row>
    <row r="562" ht="15.75" customHeight="1">
      <c r="F562" s="37"/>
    </row>
    <row r="563" ht="15.75" customHeight="1">
      <c r="F563" s="37"/>
    </row>
    <row r="564" ht="15.75" customHeight="1">
      <c r="F564" s="37"/>
    </row>
    <row r="565" ht="15.75" customHeight="1">
      <c r="F565" s="37"/>
    </row>
    <row r="566" ht="15.75" customHeight="1">
      <c r="F566" s="37"/>
    </row>
    <row r="567" ht="15.75" customHeight="1">
      <c r="F567" s="37"/>
    </row>
    <row r="568" ht="15.75" customHeight="1">
      <c r="F568" s="37"/>
    </row>
    <row r="569" ht="15.75" customHeight="1">
      <c r="F569" s="37"/>
    </row>
    <row r="570" ht="15.75" customHeight="1">
      <c r="F570" s="37"/>
    </row>
    <row r="571" ht="15.75" customHeight="1">
      <c r="F571" s="37"/>
    </row>
    <row r="572" ht="15.75" customHeight="1">
      <c r="F572" s="37"/>
    </row>
    <row r="573" ht="15.75" customHeight="1">
      <c r="F573" s="37"/>
    </row>
    <row r="574" ht="15.75" customHeight="1">
      <c r="F574" s="37"/>
    </row>
    <row r="575" ht="15.75" customHeight="1">
      <c r="F575" s="37"/>
    </row>
    <row r="576" ht="15.75" customHeight="1">
      <c r="F576" s="37"/>
    </row>
    <row r="577" ht="15.75" customHeight="1">
      <c r="F577" s="37"/>
    </row>
    <row r="578" ht="15.75" customHeight="1">
      <c r="F578" s="37"/>
    </row>
    <row r="579" ht="15.75" customHeight="1">
      <c r="F579" s="37"/>
    </row>
    <row r="580" ht="15.75" customHeight="1">
      <c r="F580" s="37"/>
    </row>
    <row r="581" ht="15.75" customHeight="1">
      <c r="F581" s="37"/>
    </row>
    <row r="582" ht="15.75" customHeight="1">
      <c r="F582" s="37"/>
    </row>
    <row r="583" ht="15.75" customHeight="1">
      <c r="F583" s="37"/>
    </row>
    <row r="584" ht="15.75" customHeight="1">
      <c r="F584" s="37"/>
    </row>
    <row r="585" ht="15.75" customHeight="1">
      <c r="F585" s="37"/>
    </row>
    <row r="586" ht="15.75" customHeight="1">
      <c r="F586" s="37"/>
    </row>
    <row r="587" ht="15.75" customHeight="1">
      <c r="F587" s="37"/>
    </row>
    <row r="588" ht="15.75" customHeight="1">
      <c r="F588" s="37"/>
    </row>
    <row r="589" ht="15.75" customHeight="1">
      <c r="F589" s="37"/>
    </row>
    <row r="590" ht="15.75" customHeight="1">
      <c r="F590" s="37"/>
    </row>
    <row r="591" ht="15.75" customHeight="1">
      <c r="F591" s="37"/>
    </row>
    <row r="592" ht="15.75" customHeight="1">
      <c r="F592" s="37"/>
    </row>
    <row r="593" ht="15.75" customHeight="1">
      <c r="F593" s="37"/>
    </row>
    <row r="594" ht="15.75" customHeight="1">
      <c r="F594" s="37"/>
    </row>
    <row r="595" ht="15.75" customHeight="1">
      <c r="F595" s="37"/>
    </row>
    <row r="596" ht="15.75" customHeight="1">
      <c r="F596" s="37"/>
    </row>
    <row r="597" ht="15.75" customHeight="1">
      <c r="F597" s="37"/>
    </row>
    <row r="598" ht="15.75" customHeight="1">
      <c r="F598" s="37"/>
    </row>
    <row r="599" ht="15.75" customHeight="1">
      <c r="F599" s="37"/>
    </row>
    <row r="600" ht="15.75" customHeight="1">
      <c r="F600" s="37"/>
    </row>
    <row r="601" ht="15.75" customHeight="1">
      <c r="F601" s="37"/>
    </row>
    <row r="602" ht="15.75" customHeight="1">
      <c r="F602" s="37"/>
    </row>
    <row r="603" ht="15.75" customHeight="1">
      <c r="F603" s="37"/>
    </row>
    <row r="604" ht="15.75" customHeight="1">
      <c r="F604" s="37"/>
    </row>
    <row r="605" ht="15.75" customHeight="1">
      <c r="F605" s="37"/>
    </row>
    <row r="606" ht="15.75" customHeight="1">
      <c r="F606" s="37"/>
    </row>
    <row r="607" ht="15.75" customHeight="1">
      <c r="F607" s="37"/>
    </row>
    <row r="608" ht="15.75" customHeight="1">
      <c r="F608" s="37"/>
    </row>
    <row r="609" ht="15.75" customHeight="1">
      <c r="F609" s="37"/>
    </row>
    <row r="610" ht="15.75" customHeight="1">
      <c r="F610" s="37"/>
    </row>
    <row r="611" ht="15.75" customHeight="1">
      <c r="F611" s="37"/>
    </row>
    <row r="612" ht="15.75" customHeight="1">
      <c r="F612" s="37"/>
    </row>
    <row r="613" ht="15.75" customHeight="1">
      <c r="F613" s="37"/>
    </row>
    <row r="614" ht="15.75" customHeight="1">
      <c r="F614" s="37"/>
    </row>
    <row r="615" ht="15.75" customHeight="1">
      <c r="F615" s="37"/>
    </row>
    <row r="616" ht="15.75" customHeight="1">
      <c r="F616" s="37"/>
    </row>
    <row r="617" ht="15.75" customHeight="1">
      <c r="F617" s="37"/>
    </row>
    <row r="618" ht="15.75" customHeight="1">
      <c r="F618" s="37"/>
    </row>
    <row r="619" ht="15.75" customHeight="1">
      <c r="F619" s="37"/>
    </row>
    <row r="620" ht="15.75" customHeight="1">
      <c r="F620" s="37"/>
    </row>
    <row r="621" ht="15.75" customHeight="1">
      <c r="F621" s="37"/>
    </row>
    <row r="622" ht="15.75" customHeight="1">
      <c r="F622" s="37"/>
    </row>
    <row r="623" ht="15.75" customHeight="1">
      <c r="F623" s="37"/>
    </row>
    <row r="624" ht="15.75" customHeight="1">
      <c r="F624" s="37"/>
    </row>
    <row r="625" ht="15.75" customHeight="1">
      <c r="F625" s="37"/>
    </row>
    <row r="626" ht="15.75" customHeight="1">
      <c r="F626" s="37"/>
    </row>
    <row r="627" ht="15.75" customHeight="1">
      <c r="F627" s="37"/>
    </row>
    <row r="628" ht="15.75" customHeight="1">
      <c r="F628" s="37"/>
    </row>
    <row r="629" ht="15.75" customHeight="1">
      <c r="F629" s="37"/>
    </row>
    <row r="630" ht="15.75" customHeight="1">
      <c r="F630" s="37"/>
    </row>
    <row r="631" ht="15.75" customHeight="1">
      <c r="F631" s="37"/>
    </row>
    <row r="632" ht="15.75" customHeight="1">
      <c r="F632" s="37"/>
    </row>
    <row r="633" ht="15.75" customHeight="1">
      <c r="F633" s="37"/>
    </row>
    <row r="634" ht="15.75" customHeight="1">
      <c r="F634" s="37"/>
    </row>
    <row r="635" ht="15.75" customHeight="1">
      <c r="F635" s="37"/>
    </row>
    <row r="636" ht="15.75" customHeight="1">
      <c r="F636" s="37"/>
    </row>
    <row r="637" ht="15.75" customHeight="1">
      <c r="F637" s="37"/>
    </row>
    <row r="638" ht="15.75" customHeight="1">
      <c r="F638" s="37"/>
    </row>
    <row r="639" ht="15.75" customHeight="1">
      <c r="F639" s="37"/>
    </row>
    <row r="640" ht="15.75" customHeight="1">
      <c r="F640" s="37"/>
    </row>
    <row r="641" ht="15.75" customHeight="1">
      <c r="F641" s="37"/>
    </row>
    <row r="642" ht="15.75" customHeight="1">
      <c r="F642" s="37"/>
    </row>
    <row r="643" ht="15.75" customHeight="1">
      <c r="F643" s="37"/>
    </row>
    <row r="644" ht="15.75" customHeight="1">
      <c r="F644" s="37"/>
    </row>
    <row r="645" ht="15.75" customHeight="1">
      <c r="F645" s="37"/>
    </row>
    <row r="646" ht="15.75" customHeight="1">
      <c r="F646" s="37"/>
    </row>
    <row r="647" ht="15.75" customHeight="1">
      <c r="F647" s="37"/>
    </row>
    <row r="648" ht="15.75" customHeight="1">
      <c r="F648" s="37"/>
    </row>
    <row r="649" ht="15.75" customHeight="1">
      <c r="F649" s="37"/>
    </row>
    <row r="650" ht="15.75" customHeight="1">
      <c r="F650" s="37"/>
    </row>
    <row r="651" ht="15.75" customHeight="1">
      <c r="F651" s="37"/>
    </row>
    <row r="652" ht="15.75" customHeight="1">
      <c r="F652" s="37"/>
    </row>
    <row r="653" ht="15.75" customHeight="1">
      <c r="F653" s="37"/>
    </row>
    <row r="654" ht="15.75" customHeight="1">
      <c r="F654" s="37"/>
    </row>
    <row r="655" ht="15.75" customHeight="1">
      <c r="F655" s="37"/>
    </row>
    <row r="656" ht="15.75" customHeight="1">
      <c r="F656" s="37"/>
    </row>
    <row r="657" ht="15.75" customHeight="1">
      <c r="F657" s="37"/>
    </row>
    <row r="658" ht="15.75" customHeight="1">
      <c r="F658" s="37"/>
    </row>
    <row r="659" ht="15.75" customHeight="1">
      <c r="F659" s="37"/>
    </row>
    <row r="660" ht="15.75" customHeight="1">
      <c r="F660" s="37"/>
    </row>
    <row r="661" ht="15.75" customHeight="1">
      <c r="F661" s="37"/>
    </row>
    <row r="662" ht="15.75" customHeight="1">
      <c r="F662" s="37"/>
    </row>
    <row r="663" ht="15.75" customHeight="1">
      <c r="F663" s="37"/>
    </row>
    <row r="664" ht="15.75" customHeight="1">
      <c r="F664" s="37"/>
    </row>
    <row r="665" ht="15.75" customHeight="1">
      <c r="F665" s="37"/>
    </row>
    <row r="666" ht="15.75" customHeight="1">
      <c r="F666" s="37"/>
    </row>
    <row r="667" ht="15.75" customHeight="1">
      <c r="F667" s="37"/>
    </row>
    <row r="668" ht="15.75" customHeight="1">
      <c r="F668" s="37"/>
    </row>
    <row r="669" ht="15.75" customHeight="1">
      <c r="F669" s="37"/>
    </row>
    <row r="670" ht="15.75" customHeight="1">
      <c r="F670" s="37"/>
    </row>
    <row r="671" ht="15.75" customHeight="1">
      <c r="F671" s="37"/>
    </row>
    <row r="672" ht="15.75" customHeight="1">
      <c r="F672" s="37"/>
    </row>
    <row r="673" ht="15.75" customHeight="1">
      <c r="F673" s="37"/>
    </row>
    <row r="674" ht="15.75" customHeight="1">
      <c r="F674" s="37"/>
    </row>
    <row r="675" ht="15.75" customHeight="1">
      <c r="F675" s="37"/>
    </row>
    <row r="676" ht="15.75" customHeight="1">
      <c r="F676" s="37"/>
    </row>
    <row r="677" ht="15.75" customHeight="1">
      <c r="F677" s="37"/>
    </row>
    <row r="678" ht="15.75" customHeight="1">
      <c r="F678" s="37"/>
    </row>
    <row r="679" ht="15.75" customHeight="1">
      <c r="F679" s="37"/>
    </row>
    <row r="680" ht="15.75" customHeight="1">
      <c r="F680" s="37"/>
    </row>
    <row r="681" ht="15.75" customHeight="1">
      <c r="F681" s="37"/>
    </row>
    <row r="682" ht="15.75" customHeight="1">
      <c r="F682" s="37"/>
    </row>
    <row r="683" ht="15.75" customHeight="1">
      <c r="F683" s="37"/>
    </row>
    <row r="684" ht="15.75" customHeight="1">
      <c r="F684" s="37"/>
    </row>
    <row r="685" ht="15.75" customHeight="1">
      <c r="F685" s="37"/>
    </row>
    <row r="686" ht="15.75" customHeight="1">
      <c r="F686" s="37"/>
    </row>
    <row r="687" ht="15.75" customHeight="1">
      <c r="F687" s="37"/>
    </row>
    <row r="688" ht="15.75" customHeight="1">
      <c r="F688" s="37"/>
    </row>
    <row r="689" ht="15.75" customHeight="1">
      <c r="F689" s="37"/>
    </row>
    <row r="690" ht="15.75" customHeight="1">
      <c r="F690" s="37"/>
    </row>
    <row r="691" ht="15.75" customHeight="1">
      <c r="F691" s="37"/>
    </row>
    <row r="692" ht="15.75" customHeight="1">
      <c r="F692" s="37"/>
    </row>
    <row r="693" ht="15.75" customHeight="1">
      <c r="F693" s="37"/>
    </row>
    <row r="694" ht="15.75" customHeight="1">
      <c r="F694" s="37"/>
    </row>
    <row r="695" ht="15.75" customHeight="1">
      <c r="F695" s="37"/>
    </row>
    <row r="696" ht="15.75" customHeight="1">
      <c r="F696" s="37"/>
    </row>
    <row r="697" ht="15.75" customHeight="1">
      <c r="F697" s="37"/>
    </row>
    <row r="698" ht="15.75" customHeight="1">
      <c r="F698" s="37"/>
    </row>
    <row r="699" ht="15.75" customHeight="1">
      <c r="F699" s="37"/>
    </row>
    <row r="700" ht="15.75" customHeight="1">
      <c r="F700" s="37"/>
    </row>
    <row r="701" ht="15.75" customHeight="1">
      <c r="F701" s="37"/>
    </row>
    <row r="702" ht="15.75" customHeight="1">
      <c r="F702" s="37"/>
    </row>
    <row r="703" ht="15.75" customHeight="1">
      <c r="F703" s="37"/>
    </row>
    <row r="704" ht="15.75" customHeight="1">
      <c r="F704" s="37"/>
    </row>
    <row r="705" ht="15.75" customHeight="1">
      <c r="F705" s="37"/>
    </row>
    <row r="706" ht="15.75" customHeight="1">
      <c r="F706" s="37"/>
    </row>
    <row r="707" ht="15.75" customHeight="1">
      <c r="F707" s="37"/>
    </row>
    <row r="708" ht="15.75" customHeight="1">
      <c r="F708" s="37"/>
    </row>
    <row r="709" ht="15.75" customHeight="1">
      <c r="F709" s="37"/>
    </row>
    <row r="710" ht="15.75" customHeight="1">
      <c r="F710" s="37"/>
    </row>
    <row r="711" ht="15.75" customHeight="1">
      <c r="F711" s="37"/>
    </row>
    <row r="712" ht="15.75" customHeight="1">
      <c r="F712" s="37"/>
    </row>
    <row r="713" ht="15.75" customHeight="1">
      <c r="F713" s="37"/>
    </row>
    <row r="714" ht="15.75" customHeight="1">
      <c r="F714" s="37"/>
    </row>
    <row r="715" ht="15.75" customHeight="1">
      <c r="F715" s="37"/>
    </row>
    <row r="716" ht="15.75" customHeight="1">
      <c r="F716" s="37"/>
    </row>
    <row r="717" ht="15.75" customHeight="1">
      <c r="F717" s="37"/>
    </row>
    <row r="718" ht="15.75" customHeight="1">
      <c r="F718" s="37"/>
    </row>
    <row r="719" ht="15.75" customHeight="1">
      <c r="F719" s="37"/>
    </row>
    <row r="720" ht="15.75" customHeight="1">
      <c r="F720" s="37"/>
    </row>
    <row r="721" ht="15.75" customHeight="1">
      <c r="F721" s="37"/>
    </row>
    <row r="722" ht="15.75" customHeight="1">
      <c r="F722" s="37"/>
    </row>
    <row r="723" ht="15.75" customHeight="1">
      <c r="F723" s="37"/>
    </row>
    <row r="724" ht="15.75" customHeight="1">
      <c r="F724" s="37"/>
    </row>
    <row r="725" ht="15.75" customHeight="1">
      <c r="F725" s="37"/>
    </row>
    <row r="726" ht="15.75" customHeight="1">
      <c r="F726" s="37"/>
    </row>
    <row r="727" ht="15.75" customHeight="1">
      <c r="F727" s="37"/>
    </row>
    <row r="728" ht="15.75" customHeight="1">
      <c r="F728" s="37"/>
    </row>
    <row r="729" ht="15.75" customHeight="1">
      <c r="F729" s="37"/>
    </row>
    <row r="730" ht="15.75" customHeight="1">
      <c r="F730" s="37"/>
    </row>
    <row r="731" ht="15.75" customHeight="1">
      <c r="F731" s="37"/>
    </row>
    <row r="732" ht="15.75" customHeight="1">
      <c r="F732" s="37"/>
    </row>
    <row r="733" ht="15.75" customHeight="1">
      <c r="F733" s="37"/>
    </row>
    <row r="734" ht="15.75" customHeight="1">
      <c r="F734" s="37"/>
    </row>
    <row r="735" ht="15.75" customHeight="1">
      <c r="F735" s="37"/>
    </row>
    <row r="736" ht="15.75" customHeight="1">
      <c r="F736" s="37"/>
    </row>
    <row r="737" ht="15.75" customHeight="1">
      <c r="F737" s="37"/>
    </row>
    <row r="738" ht="15.75" customHeight="1">
      <c r="F738" s="37"/>
    </row>
    <row r="739" ht="15.75" customHeight="1">
      <c r="F739" s="37"/>
    </row>
    <row r="740" ht="15.75" customHeight="1">
      <c r="F740" s="37"/>
    </row>
    <row r="741" ht="15.75" customHeight="1">
      <c r="F741" s="37"/>
    </row>
    <row r="742" ht="15.75" customHeight="1">
      <c r="F742" s="37"/>
    </row>
    <row r="743" ht="15.75" customHeight="1">
      <c r="F743" s="37"/>
    </row>
    <row r="744" ht="15.75" customHeight="1">
      <c r="F744" s="37"/>
    </row>
    <row r="745" ht="15.75" customHeight="1">
      <c r="F745" s="37"/>
    </row>
    <row r="746" ht="15.75" customHeight="1">
      <c r="F746" s="37"/>
    </row>
    <row r="747" ht="15.75" customHeight="1">
      <c r="F747" s="37"/>
    </row>
    <row r="748" ht="15.75" customHeight="1">
      <c r="F748" s="37"/>
    </row>
    <row r="749" ht="15.75" customHeight="1">
      <c r="F749" s="37"/>
    </row>
    <row r="750" ht="15.75" customHeight="1">
      <c r="F750" s="37"/>
    </row>
    <row r="751" ht="15.75" customHeight="1">
      <c r="F751" s="37"/>
    </row>
    <row r="752" ht="15.75" customHeight="1">
      <c r="F752" s="37"/>
    </row>
    <row r="753" ht="15.75" customHeight="1">
      <c r="F753" s="37"/>
    </row>
    <row r="754" ht="15.75" customHeight="1">
      <c r="F754" s="37"/>
    </row>
    <row r="755" ht="15.75" customHeight="1">
      <c r="F755" s="37"/>
    </row>
    <row r="756" ht="15.75" customHeight="1">
      <c r="F756" s="37"/>
    </row>
    <row r="757" ht="15.75" customHeight="1">
      <c r="F757" s="37"/>
    </row>
    <row r="758" ht="15.75" customHeight="1">
      <c r="F758" s="37"/>
    </row>
    <row r="759" ht="15.75" customHeight="1">
      <c r="F759" s="37"/>
    </row>
    <row r="760" ht="15.75" customHeight="1">
      <c r="F760" s="37"/>
    </row>
    <row r="761" ht="15.75" customHeight="1">
      <c r="F761" s="37"/>
    </row>
    <row r="762" ht="15.75" customHeight="1">
      <c r="F762" s="37"/>
    </row>
    <row r="763" ht="15.75" customHeight="1">
      <c r="F763" s="37"/>
    </row>
    <row r="764" ht="15.75" customHeight="1">
      <c r="F764" s="37"/>
    </row>
    <row r="765" ht="15.75" customHeight="1">
      <c r="F765" s="37"/>
    </row>
    <row r="766" ht="15.75" customHeight="1">
      <c r="F766" s="37"/>
    </row>
    <row r="767" ht="15.75" customHeight="1">
      <c r="F767" s="37"/>
    </row>
    <row r="768" ht="15.75" customHeight="1">
      <c r="F768" s="37"/>
    </row>
    <row r="769" ht="15.75" customHeight="1">
      <c r="F769" s="37"/>
    </row>
    <row r="770" ht="15.75" customHeight="1">
      <c r="F770" s="37"/>
    </row>
    <row r="771" ht="15.75" customHeight="1">
      <c r="F771" s="37"/>
    </row>
    <row r="772" ht="15.75" customHeight="1">
      <c r="F772" s="37"/>
    </row>
    <row r="773" ht="15.75" customHeight="1">
      <c r="F773" s="37"/>
    </row>
    <row r="774" ht="15.75" customHeight="1">
      <c r="F774" s="37"/>
    </row>
    <row r="775" ht="15.75" customHeight="1">
      <c r="F775" s="37"/>
    </row>
    <row r="776" ht="15.75" customHeight="1">
      <c r="F776" s="37"/>
    </row>
    <row r="777" ht="15.75" customHeight="1">
      <c r="F777" s="37"/>
    </row>
    <row r="778" ht="15.75" customHeight="1">
      <c r="F778" s="37"/>
    </row>
    <row r="779" ht="15.75" customHeight="1">
      <c r="F779" s="37"/>
    </row>
    <row r="780" ht="15.75" customHeight="1">
      <c r="F780" s="37"/>
    </row>
    <row r="781" ht="15.75" customHeight="1">
      <c r="F781" s="37"/>
    </row>
    <row r="782" ht="15.75" customHeight="1">
      <c r="F782" s="37"/>
    </row>
    <row r="783" ht="15.75" customHeight="1">
      <c r="F783" s="37"/>
    </row>
    <row r="784" ht="15.75" customHeight="1">
      <c r="F784" s="37"/>
    </row>
    <row r="785" ht="15.75" customHeight="1">
      <c r="F785" s="37"/>
    </row>
    <row r="786" ht="15.75" customHeight="1">
      <c r="F786" s="37"/>
    </row>
    <row r="787" ht="15.75" customHeight="1">
      <c r="F787" s="37"/>
    </row>
    <row r="788" ht="15.75" customHeight="1">
      <c r="F788" s="37"/>
    </row>
    <row r="789" ht="15.75" customHeight="1">
      <c r="F789" s="37"/>
    </row>
    <row r="790" ht="15.75" customHeight="1">
      <c r="F790" s="37"/>
    </row>
    <row r="791" ht="15.75" customHeight="1">
      <c r="F791" s="37"/>
    </row>
    <row r="792" ht="15.75" customHeight="1">
      <c r="F792" s="37"/>
    </row>
    <row r="793" ht="15.75" customHeight="1">
      <c r="F793" s="37"/>
    </row>
    <row r="794" ht="15.75" customHeight="1">
      <c r="F794" s="37"/>
    </row>
    <row r="795" ht="15.75" customHeight="1">
      <c r="F795" s="37"/>
    </row>
    <row r="796" ht="15.75" customHeight="1">
      <c r="F796" s="37"/>
    </row>
    <row r="797" ht="15.75" customHeight="1">
      <c r="F797" s="37"/>
    </row>
    <row r="798" ht="15.75" customHeight="1">
      <c r="F798" s="37"/>
    </row>
    <row r="799" ht="15.75" customHeight="1">
      <c r="F799" s="37"/>
    </row>
    <row r="800" ht="15.75" customHeight="1">
      <c r="F800" s="37"/>
    </row>
    <row r="801" ht="15.75" customHeight="1">
      <c r="F801" s="37"/>
    </row>
    <row r="802" ht="15.75" customHeight="1">
      <c r="F802" s="37"/>
    </row>
    <row r="803" ht="15.75" customHeight="1">
      <c r="F803" s="37"/>
    </row>
    <row r="804" ht="15.75" customHeight="1">
      <c r="F804" s="37"/>
    </row>
    <row r="805" ht="15.75" customHeight="1">
      <c r="F805" s="37"/>
    </row>
    <row r="806" ht="15.75" customHeight="1">
      <c r="F806" s="37"/>
    </row>
    <row r="807" ht="15.75" customHeight="1">
      <c r="F807" s="37"/>
    </row>
    <row r="808" ht="15.75" customHeight="1">
      <c r="F808" s="37"/>
    </row>
    <row r="809" ht="15.75" customHeight="1">
      <c r="F809" s="37"/>
    </row>
    <row r="810" ht="15.75" customHeight="1">
      <c r="F810" s="37"/>
    </row>
    <row r="811" ht="15.75" customHeight="1">
      <c r="F811" s="37"/>
    </row>
    <row r="812" ht="15.75" customHeight="1">
      <c r="F812" s="37"/>
    </row>
    <row r="813" ht="15.75" customHeight="1">
      <c r="F813" s="37"/>
    </row>
    <row r="814" ht="15.75" customHeight="1">
      <c r="F814" s="37"/>
    </row>
    <row r="815" ht="15.75" customHeight="1">
      <c r="F815" s="37"/>
    </row>
    <row r="816" ht="15.75" customHeight="1">
      <c r="F816" s="37"/>
    </row>
    <row r="817" ht="15.75" customHeight="1">
      <c r="F817" s="37"/>
    </row>
    <row r="818" ht="15.75" customHeight="1">
      <c r="F818" s="37"/>
    </row>
    <row r="819" ht="15.75" customHeight="1">
      <c r="F819" s="37"/>
    </row>
    <row r="820" ht="15.75" customHeight="1">
      <c r="F820" s="37"/>
    </row>
    <row r="821" ht="15.75" customHeight="1">
      <c r="F821" s="37"/>
    </row>
    <row r="822" ht="15.75" customHeight="1">
      <c r="F822" s="37"/>
    </row>
    <row r="823" ht="15.75" customHeight="1">
      <c r="F823" s="37"/>
    </row>
    <row r="824" ht="15.75" customHeight="1">
      <c r="F824" s="37"/>
    </row>
    <row r="825" ht="15.75" customHeight="1">
      <c r="F825" s="37"/>
    </row>
    <row r="826" ht="15.75" customHeight="1">
      <c r="F826" s="37"/>
    </row>
    <row r="827" ht="15.75" customHeight="1">
      <c r="F827" s="37"/>
    </row>
    <row r="828" ht="15.75" customHeight="1">
      <c r="F828" s="37"/>
    </row>
    <row r="829" ht="15.75" customHeight="1">
      <c r="F829" s="37"/>
    </row>
    <row r="830" ht="15.75" customHeight="1">
      <c r="F830" s="37"/>
    </row>
    <row r="831" ht="15.75" customHeight="1">
      <c r="F831" s="37"/>
    </row>
    <row r="832" ht="15.75" customHeight="1">
      <c r="F832" s="37"/>
    </row>
    <row r="833" ht="15.75" customHeight="1">
      <c r="F833" s="37"/>
    </row>
    <row r="834" ht="15.75" customHeight="1">
      <c r="F834" s="37"/>
    </row>
    <row r="835" ht="15.75" customHeight="1">
      <c r="F835" s="37"/>
    </row>
    <row r="836" ht="15.75" customHeight="1">
      <c r="F836" s="37"/>
    </row>
    <row r="837" ht="15.75" customHeight="1">
      <c r="F837" s="37"/>
    </row>
    <row r="838" ht="15.75" customHeight="1">
      <c r="F838" s="37"/>
    </row>
    <row r="839" ht="15.75" customHeight="1">
      <c r="F839" s="37"/>
    </row>
    <row r="840" ht="15.75" customHeight="1">
      <c r="F840" s="37"/>
    </row>
    <row r="841" ht="15.75" customHeight="1">
      <c r="F841" s="37"/>
    </row>
    <row r="842" ht="15.75" customHeight="1">
      <c r="F842" s="37"/>
    </row>
    <row r="843" ht="15.75" customHeight="1">
      <c r="F843" s="37"/>
    </row>
    <row r="844" ht="15.75" customHeight="1">
      <c r="F844" s="37"/>
    </row>
    <row r="845" ht="15.75" customHeight="1">
      <c r="F845" s="37"/>
    </row>
    <row r="846" ht="15.75" customHeight="1">
      <c r="F846" s="37"/>
    </row>
    <row r="847" ht="15.75" customHeight="1">
      <c r="F847" s="37"/>
    </row>
    <row r="848" ht="15.75" customHeight="1">
      <c r="F848" s="37"/>
    </row>
    <row r="849" ht="15.75" customHeight="1">
      <c r="F849" s="37"/>
    </row>
    <row r="850" ht="15.75" customHeight="1">
      <c r="F850" s="37"/>
    </row>
    <row r="851" ht="15.75" customHeight="1">
      <c r="F851" s="37"/>
    </row>
    <row r="852" ht="15.75" customHeight="1">
      <c r="F852" s="37"/>
    </row>
    <row r="853" ht="15.75" customHeight="1">
      <c r="F853" s="37"/>
    </row>
    <row r="854" ht="15.75" customHeight="1">
      <c r="F854" s="37"/>
    </row>
    <row r="855" ht="15.75" customHeight="1">
      <c r="F855" s="37"/>
    </row>
    <row r="856" ht="15.75" customHeight="1">
      <c r="F856" s="37"/>
    </row>
    <row r="857" ht="15.75" customHeight="1">
      <c r="F857" s="37"/>
    </row>
    <row r="858" ht="15.75" customHeight="1">
      <c r="F858" s="37"/>
    </row>
    <row r="859" ht="15.75" customHeight="1">
      <c r="F859" s="37"/>
    </row>
    <row r="860" ht="15.75" customHeight="1">
      <c r="F860" s="37"/>
    </row>
    <row r="861" ht="15.75" customHeight="1">
      <c r="F861" s="37"/>
    </row>
    <row r="862" ht="15.75" customHeight="1">
      <c r="F862" s="37"/>
    </row>
    <row r="863" ht="15.75" customHeight="1">
      <c r="F863" s="37"/>
    </row>
    <row r="864" ht="15.75" customHeight="1">
      <c r="F864" s="37"/>
    </row>
    <row r="865" ht="15.75" customHeight="1">
      <c r="F865" s="37"/>
    </row>
    <row r="866" ht="15.75" customHeight="1">
      <c r="F866" s="37"/>
    </row>
    <row r="867" ht="15.75" customHeight="1">
      <c r="F867" s="37"/>
    </row>
    <row r="868" ht="15.75" customHeight="1">
      <c r="F868" s="37"/>
    </row>
    <row r="869" ht="15.75" customHeight="1">
      <c r="F869" s="37"/>
    </row>
    <row r="870" ht="15.75" customHeight="1">
      <c r="F870" s="37"/>
    </row>
    <row r="871" ht="15.75" customHeight="1">
      <c r="F871" s="37"/>
    </row>
    <row r="872" ht="15.75" customHeight="1">
      <c r="F872" s="37"/>
    </row>
    <row r="873" ht="15.75" customHeight="1">
      <c r="F873" s="37"/>
    </row>
    <row r="874" ht="15.75" customHeight="1">
      <c r="F874" s="37"/>
    </row>
    <row r="875" ht="15.75" customHeight="1">
      <c r="F875" s="37"/>
    </row>
    <row r="876" ht="15.75" customHeight="1">
      <c r="F876" s="37"/>
    </row>
    <row r="877" ht="15.75" customHeight="1">
      <c r="F877" s="37"/>
    </row>
    <row r="878" ht="15.75" customHeight="1">
      <c r="F878" s="37"/>
    </row>
    <row r="879" ht="15.75" customHeight="1">
      <c r="F879" s="37"/>
    </row>
    <row r="880" ht="15.75" customHeight="1">
      <c r="F880" s="37"/>
    </row>
    <row r="881" ht="15.75" customHeight="1">
      <c r="F881" s="37"/>
    </row>
    <row r="882" ht="15.75" customHeight="1">
      <c r="F882" s="37"/>
    </row>
    <row r="883" ht="15.75" customHeight="1">
      <c r="F883" s="37"/>
    </row>
    <row r="884" ht="15.75" customHeight="1">
      <c r="F884" s="37"/>
    </row>
    <row r="885" ht="15.75" customHeight="1">
      <c r="F885" s="37"/>
    </row>
    <row r="886" ht="15.75" customHeight="1">
      <c r="F886" s="37"/>
    </row>
    <row r="887" ht="15.75" customHeight="1">
      <c r="F887" s="37"/>
    </row>
    <row r="888" ht="15.75" customHeight="1">
      <c r="F888" s="37"/>
    </row>
    <row r="889" ht="15.75" customHeight="1">
      <c r="F889" s="37"/>
    </row>
    <row r="890" ht="15.75" customHeight="1">
      <c r="F890" s="37"/>
    </row>
    <row r="891" ht="15.75" customHeight="1">
      <c r="F891" s="37"/>
    </row>
    <row r="892" ht="15.75" customHeight="1">
      <c r="F892" s="37"/>
    </row>
    <row r="893" ht="15.75" customHeight="1">
      <c r="F893" s="37"/>
    </row>
    <row r="894" ht="15.75" customHeight="1">
      <c r="F894" s="37"/>
    </row>
    <row r="895" ht="15.75" customHeight="1">
      <c r="F895" s="37"/>
    </row>
    <row r="896" ht="15.75" customHeight="1">
      <c r="F896" s="37"/>
    </row>
    <row r="897" ht="15.75" customHeight="1">
      <c r="F897" s="37"/>
    </row>
    <row r="898" ht="15.75" customHeight="1">
      <c r="F898" s="37"/>
    </row>
    <row r="899" ht="15.75" customHeight="1">
      <c r="F899" s="37"/>
    </row>
    <row r="900" ht="15.75" customHeight="1">
      <c r="F900" s="37"/>
    </row>
    <row r="901" ht="15.75" customHeight="1">
      <c r="F901" s="37"/>
    </row>
    <row r="902" ht="15.75" customHeight="1">
      <c r="F902" s="37"/>
    </row>
    <row r="903" ht="15.75" customHeight="1">
      <c r="F903" s="37"/>
    </row>
    <row r="904" ht="15.75" customHeight="1">
      <c r="F904" s="37"/>
    </row>
    <row r="905" ht="15.75" customHeight="1">
      <c r="F905" s="37"/>
    </row>
    <row r="906" ht="15.75" customHeight="1">
      <c r="F906" s="37"/>
    </row>
    <row r="907" ht="15.75" customHeight="1">
      <c r="F907" s="37"/>
    </row>
    <row r="908" ht="15.75" customHeight="1">
      <c r="F908" s="37"/>
    </row>
    <row r="909" ht="15.75" customHeight="1">
      <c r="F909" s="37"/>
    </row>
    <row r="910" ht="15.75" customHeight="1">
      <c r="F910" s="37"/>
    </row>
    <row r="911" ht="15.75" customHeight="1">
      <c r="F911" s="37"/>
    </row>
    <row r="912" ht="15.75" customHeight="1">
      <c r="F912" s="37"/>
    </row>
    <row r="913" ht="15.75" customHeight="1">
      <c r="F913" s="37"/>
    </row>
    <row r="914" ht="15.75" customHeight="1">
      <c r="F914" s="37"/>
    </row>
    <row r="915" ht="15.75" customHeight="1">
      <c r="F915" s="37"/>
    </row>
    <row r="916" ht="15.75" customHeight="1">
      <c r="F916" s="37"/>
    </row>
    <row r="917" ht="15.75" customHeight="1">
      <c r="F917" s="37"/>
    </row>
    <row r="918" ht="15.75" customHeight="1">
      <c r="F918" s="37"/>
    </row>
    <row r="919" ht="15.75" customHeight="1">
      <c r="F919" s="37"/>
    </row>
    <row r="920" ht="15.75" customHeight="1">
      <c r="F920" s="37"/>
    </row>
    <row r="921" ht="15.75" customHeight="1">
      <c r="F921" s="37"/>
    </row>
    <row r="922" ht="15.75" customHeight="1">
      <c r="F922" s="37"/>
    </row>
    <row r="923" ht="15.75" customHeight="1">
      <c r="F923" s="37"/>
    </row>
    <row r="924" ht="15.75" customHeight="1">
      <c r="F924" s="37"/>
    </row>
    <row r="925" ht="15.75" customHeight="1">
      <c r="F925" s="37"/>
    </row>
    <row r="926" ht="15.75" customHeight="1">
      <c r="F926" s="37"/>
    </row>
    <row r="927" ht="15.75" customHeight="1">
      <c r="F927" s="37"/>
    </row>
    <row r="928" ht="15.75" customHeight="1">
      <c r="F928" s="37"/>
    </row>
    <row r="929" ht="15.75" customHeight="1">
      <c r="F929" s="37"/>
    </row>
    <row r="930" ht="15.75" customHeight="1">
      <c r="F930" s="37"/>
    </row>
    <row r="931" ht="15.75" customHeight="1">
      <c r="F931" s="37"/>
    </row>
    <row r="932" ht="15.75" customHeight="1">
      <c r="F932" s="37"/>
    </row>
    <row r="933" ht="15.75" customHeight="1">
      <c r="F933" s="37"/>
    </row>
    <row r="934" ht="15.75" customHeight="1">
      <c r="F934" s="37"/>
    </row>
    <row r="935" ht="15.75" customHeight="1">
      <c r="F935" s="37"/>
    </row>
    <row r="936" ht="15.75" customHeight="1">
      <c r="F936" s="37"/>
    </row>
    <row r="937" ht="15.75" customHeight="1">
      <c r="F937" s="37"/>
    </row>
    <row r="938" ht="15.75" customHeight="1">
      <c r="F938" s="37"/>
    </row>
    <row r="939" ht="15.75" customHeight="1">
      <c r="F939" s="37"/>
    </row>
    <row r="940" ht="15.75" customHeight="1">
      <c r="F940" s="37"/>
    </row>
    <row r="941" ht="15.75" customHeight="1">
      <c r="F941" s="37"/>
    </row>
    <row r="942" ht="15.75" customHeight="1">
      <c r="F942" s="37"/>
    </row>
    <row r="943" ht="15.75" customHeight="1">
      <c r="F943" s="37"/>
    </row>
    <row r="944" ht="15.75" customHeight="1">
      <c r="F944" s="37"/>
    </row>
    <row r="945" ht="15.75" customHeight="1">
      <c r="F945" s="37"/>
    </row>
    <row r="946" ht="15.75" customHeight="1">
      <c r="F946" s="37"/>
    </row>
    <row r="947" ht="15.75" customHeight="1">
      <c r="F947" s="37"/>
    </row>
    <row r="948" ht="15.75" customHeight="1">
      <c r="F948" s="37"/>
    </row>
    <row r="949" ht="15.75" customHeight="1">
      <c r="F949" s="37"/>
    </row>
    <row r="950" ht="15.75" customHeight="1">
      <c r="F950" s="37"/>
    </row>
    <row r="951" ht="15.75" customHeight="1">
      <c r="F951" s="37"/>
    </row>
    <row r="952" ht="15.75" customHeight="1">
      <c r="F952" s="37"/>
    </row>
    <row r="953" ht="15.75" customHeight="1">
      <c r="F953" s="37"/>
    </row>
    <row r="954" ht="15.75" customHeight="1">
      <c r="F954" s="37"/>
    </row>
    <row r="955" ht="15.75" customHeight="1">
      <c r="F955" s="37"/>
    </row>
    <row r="956" ht="15.75" customHeight="1">
      <c r="F956" s="37"/>
    </row>
    <row r="957" ht="15.75" customHeight="1">
      <c r="F957" s="37"/>
    </row>
    <row r="958" ht="15.75" customHeight="1">
      <c r="F958" s="37"/>
    </row>
    <row r="959" ht="15.75" customHeight="1">
      <c r="F959" s="37"/>
    </row>
    <row r="960" ht="15.75" customHeight="1">
      <c r="F960" s="37"/>
    </row>
    <row r="961" ht="15.75" customHeight="1">
      <c r="F961" s="37"/>
    </row>
    <row r="962" ht="15.75" customHeight="1">
      <c r="F962" s="37"/>
    </row>
    <row r="963" ht="15.75" customHeight="1">
      <c r="F963" s="37"/>
    </row>
    <row r="964" ht="15.75" customHeight="1">
      <c r="F964" s="37"/>
    </row>
    <row r="965" ht="15.75" customHeight="1">
      <c r="F965" s="37"/>
    </row>
    <row r="966" ht="15.75" customHeight="1">
      <c r="F966" s="37"/>
    </row>
    <row r="967" ht="15.75" customHeight="1">
      <c r="F967" s="37"/>
    </row>
    <row r="968" ht="15.75" customHeight="1">
      <c r="F968" s="37"/>
    </row>
    <row r="969" ht="15.75" customHeight="1">
      <c r="F969" s="37"/>
    </row>
    <row r="970" ht="15.75" customHeight="1">
      <c r="F970" s="37"/>
    </row>
    <row r="971" ht="15.75" customHeight="1">
      <c r="F971" s="37"/>
    </row>
    <row r="972" ht="15.75" customHeight="1">
      <c r="F972" s="37"/>
    </row>
    <row r="973" ht="15.75" customHeight="1">
      <c r="F973" s="37"/>
    </row>
    <row r="974" ht="15.75" customHeight="1">
      <c r="F974" s="37"/>
    </row>
    <row r="975" ht="15.75" customHeight="1">
      <c r="F975" s="37"/>
    </row>
    <row r="976" ht="15.75" customHeight="1">
      <c r="F976" s="37"/>
    </row>
    <row r="977" ht="15.75" customHeight="1">
      <c r="F977" s="37"/>
    </row>
    <row r="978" ht="15.75" customHeight="1">
      <c r="F978" s="37"/>
    </row>
    <row r="979" ht="15.75" customHeight="1">
      <c r="F979" s="37"/>
    </row>
    <row r="980" ht="15.75" customHeight="1">
      <c r="F980" s="37"/>
    </row>
    <row r="981" ht="15.75" customHeight="1">
      <c r="F981" s="37"/>
    </row>
    <row r="982" ht="15.75" customHeight="1">
      <c r="F982" s="37"/>
    </row>
    <row r="983" ht="15.75" customHeight="1">
      <c r="F983" s="37"/>
    </row>
    <row r="984" ht="15.75" customHeight="1">
      <c r="F984" s="37"/>
    </row>
    <row r="985" ht="15.75" customHeight="1">
      <c r="F985" s="37"/>
    </row>
    <row r="986" ht="15.75" customHeight="1">
      <c r="F986" s="37"/>
    </row>
    <row r="987" ht="15.75" customHeight="1">
      <c r="F987" s="37"/>
    </row>
    <row r="988" ht="15.75" customHeight="1">
      <c r="F988" s="37"/>
    </row>
    <row r="989" ht="15.75" customHeight="1">
      <c r="F989" s="37"/>
    </row>
    <row r="990" ht="15.75" customHeight="1">
      <c r="F990" s="37"/>
    </row>
    <row r="991" ht="15.75" customHeight="1">
      <c r="F991" s="37"/>
    </row>
    <row r="992" ht="15.75" customHeight="1">
      <c r="F992" s="37"/>
    </row>
    <row r="993" ht="15.75" customHeight="1">
      <c r="F993" s="37"/>
    </row>
    <row r="994" ht="15.75" customHeight="1">
      <c r="F994" s="37"/>
    </row>
    <row r="995" ht="15.75" customHeight="1">
      <c r="F995" s="37"/>
    </row>
    <row r="996" ht="15.75" customHeight="1">
      <c r="F996" s="37"/>
    </row>
    <row r="997" ht="15.75" customHeight="1">
      <c r="F997" s="37"/>
    </row>
    <row r="998" ht="15.75" customHeight="1">
      <c r="F998" s="37"/>
    </row>
    <row r="999" ht="15.75" customHeight="1">
      <c r="F999" s="37"/>
    </row>
    <row r="1000" ht="15.75" customHeight="1">
      <c r="F1000" s="37"/>
    </row>
    <row r="1001" ht="15.75" customHeight="1">
      <c r="F1001" s="37"/>
    </row>
    <row r="1002" ht="15.75" customHeight="1">
      <c r="F1002" s="37"/>
    </row>
    <row r="1003" ht="15.75" customHeight="1">
      <c r="F1003" s="37"/>
    </row>
    <row r="1004" ht="15.75" customHeight="1">
      <c r="F1004" s="37"/>
    </row>
    <row r="1005" ht="15.75" customHeight="1">
      <c r="F1005" s="37"/>
    </row>
    <row r="1006" ht="15.75" customHeight="1">
      <c r="F1006" s="37"/>
    </row>
    <row r="1007" ht="15.75" customHeight="1">
      <c r="F1007" s="37"/>
    </row>
    <row r="1008" ht="15.75" customHeight="1">
      <c r="F1008" s="37"/>
    </row>
    <row r="1009" ht="15.75" customHeight="1">
      <c r="F1009" s="37"/>
    </row>
    <row r="1010" ht="15.75" customHeight="1">
      <c r="F1010" s="37"/>
    </row>
    <row r="1011" ht="15.75" customHeight="1">
      <c r="F1011" s="37"/>
    </row>
    <row r="1012" ht="15.75" customHeight="1">
      <c r="F1012" s="37"/>
    </row>
    <row r="1013" ht="15.75" customHeight="1">
      <c r="F1013" s="37"/>
    </row>
  </sheetData>
  <dataValidations>
    <dataValidation type="list" allowBlank="1" sqref="F2:F55">
      <formula1>"Won / On Going,Lost,Revision,Media Plan,Awaiting Feedback,Invoicing,Finish / Paid"</formula1>
    </dataValidation>
    <dataValidation type="custom" allowBlank="1" showDropDown="1" sqref="H2:H55">
      <formula1>OR(NOT(ISERROR(DATEVALUE(H2))), AND(ISNUMBER(H2), LEFT(CELL("format", H2))="D"))</formula1>
    </dataValidation>
    <dataValidation type="custom" allowBlank="1" showDropDown="1" sqref="G2:G55 J2:J55">
      <formula1>AND(ISNUMBER(G2),(NOT(OR(NOT(ISERROR(DATEVALUE(G2))), AND(ISNUMBER(G2), LEFT(CELL("format", G2))="D")))))</formula1>
    </dataValidation>
  </dataValidations>
  <hyperlinks>
    <hyperlink r:id="rId1" ref="M24"/>
    <hyperlink r:id="rId2" ref="N24"/>
    <hyperlink r:id="rId3" ref="L26"/>
    <hyperlink r:id="rId4" location="gid=889297787" ref="M26"/>
    <hyperlink r:id="rId5" ref="N26"/>
    <hyperlink r:id="rId6" ref="L27"/>
    <hyperlink r:id="rId7" ref="M27"/>
    <hyperlink r:id="rId8" ref="N27"/>
    <hyperlink r:id="rId9" ref="L28"/>
    <hyperlink r:id="rId10" ref="M28"/>
    <hyperlink r:id="rId11" ref="N28"/>
    <hyperlink r:id="rId12" ref="L29"/>
    <hyperlink r:id="rId13" ref="M29"/>
    <hyperlink r:id="rId14" ref="N29"/>
    <hyperlink r:id="rId15" ref="L30"/>
    <hyperlink r:id="rId16" ref="M30"/>
    <hyperlink r:id="rId17" ref="N30"/>
    <hyperlink r:id="rId18" ref="L31"/>
    <hyperlink r:id="rId19" ref="M31"/>
    <hyperlink r:id="rId20" ref="L32"/>
    <hyperlink r:id="rId21" ref="M32"/>
    <hyperlink r:id="rId22" ref="N32"/>
    <hyperlink r:id="rId23" ref="L33"/>
    <hyperlink r:id="rId24" ref="M33"/>
    <hyperlink r:id="rId25" ref="L35"/>
    <hyperlink r:id="rId26" ref="M35"/>
    <hyperlink r:id="rId27" ref="N35"/>
    <hyperlink r:id="rId28" ref="L36"/>
    <hyperlink r:id="rId29" ref="M36"/>
    <hyperlink r:id="rId30" ref="N36"/>
    <hyperlink r:id="rId31" ref="L37"/>
    <hyperlink r:id="rId32" ref="M37"/>
    <hyperlink r:id="rId33" ref="N37"/>
    <hyperlink r:id="rId34" ref="L38"/>
    <hyperlink r:id="rId35" ref="M38"/>
    <hyperlink r:id="rId36" ref="N38"/>
    <hyperlink r:id="rId37" ref="M39"/>
    <hyperlink r:id="rId38" ref="N39"/>
    <hyperlink r:id="rId39" ref="L40"/>
    <hyperlink r:id="rId40" ref="M40"/>
    <hyperlink r:id="rId41" ref="N40"/>
    <hyperlink r:id="rId42" ref="L41"/>
    <hyperlink r:id="rId43" ref="M41"/>
    <hyperlink r:id="rId44" ref="N41"/>
    <hyperlink r:id="rId45" ref="M42"/>
    <hyperlink r:id="rId46" location="gid=449523285" ref="N42"/>
    <hyperlink r:id="rId47" ref="M43"/>
    <hyperlink r:id="rId48" ref="N43"/>
    <hyperlink r:id="rId49" ref="M44"/>
    <hyperlink r:id="rId50" ref="N44"/>
    <hyperlink r:id="rId51" ref="M45"/>
    <hyperlink r:id="rId52" ref="N45"/>
    <hyperlink r:id="rId53" ref="M46"/>
    <hyperlink r:id="rId54" ref="N46"/>
    <hyperlink r:id="rId55" ref="M47"/>
    <hyperlink r:id="rId56" ref="N47"/>
    <hyperlink r:id="rId57" ref="M48"/>
    <hyperlink r:id="rId58" ref="M49"/>
    <hyperlink r:id="rId59" ref="N49"/>
  </hyperlinks>
  <printOptions/>
  <pageMargins bottom="1.0" footer="0.0" header="0.0" left="0.75" right="0.75" top="1.0"/>
  <pageSetup orientation="landscape"/>
  <drawing r:id="rId60"/>
  <tableParts count="1">
    <tablePart r:id="rId6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0.43"/>
    <col customWidth="1" min="2" max="2" width="16.71"/>
    <col customWidth="1" min="3" max="3" width="19.71"/>
    <col customWidth="1" min="4" max="4" width="9.57"/>
    <col customWidth="1" min="5" max="5" width="31.29"/>
    <col customWidth="1" min="6" max="6" width="30.29"/>
    <col customWidth="1" min="7" max="7" width="26.71"/>
    <col customWidth="1" min="8" max="8" width="23.29"/>
    <col customWidth="1" min="9" max="15" width="22.0"/>
    <col customWidth="1" min="16" max="16" width="17.29"/>
    <col customWidth="1" min="17" max="17" width="21.29"/>
    <col customWidth="1" min="18" max="18" width="20.43"/>
    <col customWidth="1" min="19" max="29" width="8.71"/>
  </cols>
  <sheetData>
    <row r="1" ht="22.5" customHeight="1">
      <c r="A1" s="38" t="s">
        <v>181</v>
      </c>
      <c r="B1" s="38" t="s">
        <v>182</v>
      </c>
      <c r="C1" s="39" t="s">
        <v>183</v>
      </c>
      <c r="D1" s="38" t="s">
        <v>4</v>
      </c>
      <c r="E1" s="38" t="s">
        <v>184</v>
      </c>
      <c r="F1" s="38" t="s">
        <v>185</v>
      </c>
      <c r="G1" s="38" t="s">
        <v>186</v>
      </c>
      <c r="H1" s="38" t="s">
        <v>187</v>
      </c>
      <c r="I1" s="39" t="s">
        <v>188</v>
      </c>
      <c r="J1" s="39" t="s">
        <v>189</v>
      </c>
      <c r="K1" s="38" t="s">
        <v>190</v>
      </c>
      <c r="L1" s="38" t="s">
        <v>191</v>
      </c>
      <c r="M1" s="38" t="s">
        <v>192</v>
      </c>
      <c r="N1" s="38" t="s">
        <v>193</v>
      </c>
      <c r="O1" s="38" t="s">
        <v>194</v>
      </c>
      <c r="P1" s="40" t="s">
        <v>195</v>
      </c>
      <c r="Q1" s="40" t="s">
        <v>196</v>
      </c>
      <c r="R1" s="40" t="s">
        <v>197</v>
      </c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</row>
    <row r="2" ht="22.5" customHeight="1">
      <c r="A2" s="42" t="s">
        <v>198</v>
      </c>
      <c r="B2" s="42" t="s">
        <v>49</v>
      </c>
      <c r="C2" s="42" t="s">
        <v>17</v>
      </c>
      <c r="D2" s="42" t="s">
        <v>19</v>
      </c>
      <c r="E2" s="43">
        <v>45829.0</v>
      </c>
      <c r="F2" s="43">
        <v>45935.0</v>
      </c>
      <c r="G2" s="44">
        <v>5.08E8</v>
      </c>
      <c r="H2" s="45">
        <v>2.42075374E8</v>
      </c>
      <c r="I2" s="42"/>
      <c r="J2" s="42"/>
      <c r="K2" s="42" t="s">
        <v>199</v>
      </c>
      <c r="L2" s="42" t="s">
        <v>200</v>
      </c>
      <c r="M2" s="46" t="s">
        <v>201</v>
      </c>
      <c r="N2" s="47">
        <f t="shared" ref="N2:N14" si="1">O2/G2</f>
        <v>0.5234736732</v>
      </c>
      <c r="O2" s="48">
        <f t="shared" ref="O2:O26" si="2">G2-H2</f>
        <v>265924626</v>
      </c>
      <c r="P2" s="6" t="s">
        <v>202</v>
      </c>
      <c r="Q2" s="49"/>
      <c r="R2" s="49"/>
    </row>
    <row r="3" ht="22.5" customHeight="1">
      <c r="A3" s="42" t="s">
        <v>203</v>
      </c>
      <c r="B3" s="42" t="s">
        <v>25</v>
      </c>
      <c r="C3" s="42" t="s">
        <v>26</v>
      </c>
      <c r="D3" s="42" t="s">
        <v>19</v>
      </c>
      <c r="E3" s="43">
        <v>45870.0</v>
      </c>
      <c r="F3" s="43">
        <v>45930.0</v>
      </c>
      <c r="G3" s="7">
        <v>2.375E7</v>
      </c>
      <c r="H3" s="45">
        <v>1.0E7</v>
      </c>
      <c r="I3" s="42"/>
      <c r="J3" s="42"/>
      <c r="K3" s="42" t="s">
        <v>26</v>
      </c>
      <c r="L3" s="42" t="s">
        <v>204</v>
      </c>
      <c r="M3" s="46" t="s">
        <v>205</v>
      </c>
      <c r="N3" s="47">
        <f t="shared" si="1"/>
        <v>0.5789473684</v>
      </c>
      <c r="O3" s="48">
        <f t="shared" si="2"/>
        <v>13750000</v>
      </c>
      <c r="P3" s="6" t="s">
        <v>202</v>
      </c>
      <c r="Q3" s="49"/>
      <c r="R3" s="49"/>
    </row>
    <row r="4" ht="22.5" customHeight="1">
      <c r="A4" s="42" t="s">
        <v>206</v>
      </c>
      <c r="B4" s="42" t="s">
        <v>49</v>
      </c>
      <c r="C4" s="42" t="s">
        <v>17</v>
      </c>
      <c r="D4" s="42" t="s">
        <v>19</v>
      </c>
      <c r="E4" s="43">
        <v>45877.0</v>
      </c>
      <c r="F4" s="43">
        <v>45907.0</v>
      </c>
      <c r="G4" s="7">
        <v>1.01540816E8</v>
      </c>
      <c r="H4" s="45">
        <v>3.6217686E7</v>
      </c>
      <c r="I4" s="42"/>
      <c r="J4" s="42"/>
      <c r="K4" s="42" t="s">
        <v>199</v>
      </c>
      <c r="L4" s="42" t="s">
        <v>200</v>
      </c>
      <c r="M4" s="46" t="s">
        <v>207</v>
      </c>
      <c r="N4" s="47">
        <f t="shared" si="1"/>
        <v>0.6433189389</v>
      </c>
      <c r="O4" s="48">
        <f t="shared" si="2"/>
        <v>65323130</v>
      </c>
      <c r="P4" s="6" t="s">
        <v>202</v>
      </c>
      <c r="Q4" s="49"/>
      <c r="R4" s="49"/>
    </row>
    <row r="5" ht="22.5" customHeight="1">
      <c r="A5" s="42" t="s">
        <v>208</v>
      </c>
      <c r="B5" s="42" t="s">
        <v>209</v>
      </c>
      <c r="C5" s="42" t="s">
        <v>17</v>
      </c>
      <c r="D5" s="42" t="s">
        <v>19</v>
      </c>
      <c r="E5" s="43">
        <v>45901.0</v>
      </c>
      <c r="F5" s="43">
        <v>45940.0</v>
      </c>
      <c r="G5" s="7">
        <v>3.5581E8</v>
      </c>
      <c r="H5" s="45">
        <v>1.77313096E8</v>
      </c>
      <c r="I5" s="42"/>
      <c r="J5" s="42"/>
      <c r="K5" s="42" t="s">
        <v>210</v>
      </c>
      <c r="L5" s="50" t="s">
        <v>211</v>
      </c>
      <c r="M5" s="46" t="s">
        <v>212</v>
      </c>
      <c r="N5" s="47">
        <f t="shared" si="1"/>
        <v>0.5016635395</v>
      </c>
      <c r="O5" s="48">
        <f t="shared" si="2"/>
        <v>178496904</v>
      </c>
      <c r="P5" s="6" t="s">
        <v>202</v>
      </c>
      <c r="Q5" s="49"/>
      <c r="R5" s="49"/>
    </row>
    <row r="6" ht="22.5" customHeight="1">
      <c r="A6" s="42" t="s">
        <v>213</v>
      </c>
      <c r="B6" s="42" t="s">
        <v>33</v>
      </c>
      <c r="C6" s="42" t="s">
        <v>34</v>
      </c>
      <c r="D6" s="42" t="s">
        <v>19</v>
      </c>
      <c r="E6" s="43">
        <v>45931.0</v>
      </c>
      <c r="F6" s="43">
        <v>45961.0</v>
      </c>
      <c r="G6" s="44">
        <v>6000000.0</v>
      </c>
      <c r="H6" s="45">
        <v>2500000.0</v>
      </c>
      <c r="I6" s="42"/>
      <c r="J6" s="42"/>
      <c r="K6" s="42" t="s">
        <v>214</v>
      </c>
      <c r="L6" s="42" t="s">
        <v>215</v>
      </c>
      <c r="M6" s="46" t="s">
        <v>216</v>
      </c>
      <c r="N6" s="47">
        <f t="shared" si="1"/>
        <v>0.5833333333</v>
      </c>
      <c r="O6" s="48">
        <f t="shared" si="2"/>
        <v>3500000</v>
      </c>
      <c r="P6" s="6" t="s">
        <v>202</v>
      </c>
      <c r="Q6" s="49"/>
      <c r="R6" s="49"/>
    </row>
    <row r="7" ht="22.5" customHeight="1">
      <c r="A7" s="42">
        <v>2026.0</v>
      </c>
      <c r="B7" s="42"/>
      <c r="C7" s="42"/>
      <c r="D7" s="42"/>
      <c r="E7" s="43"/>
      <c r="F7" s="43"/>
      <c r="G7" s="44"/>
      <c r="H7" s="45"/>
      <c r="I7" s="42"/>
      <c r="J7" s="42"/>
      <c r="K7" s="42"/>
      <c r="L7" s="42"/>
      <c r="M7" s="42"/>
      <c r="N7" s="47" t="str">
        <f t="shared" si="1"/>
        <v>#DIV/0!</v>
      </c>
      <c r="O7" s="48">
        <f t="shared" si="2"/>
        <v>0</v>
      </c>
      <c r="P7" s="36"/>
      <c r="Q7" s="49"/>
      <c r="R7" s="49"/>
    </row>
    <row r="8" ht="22.5" customHeight="1">
      <c r="A8" s="42" t="s">
        <v>217</v>
      </c>
      <c r="B8" s="42" t="s">
        <v>49</v>
      </c>
      <c r="C8" s="42" t="s">
        <v>17</v>
      </c>
      <c r="D8" s="42" t="s">
        <v>19</v>
      </c>
      <c r="E8" s="51"/>
      <c r="F8" s="51"/>
      <c r="G8" s="44">
        <v>1.59E8</v>
      </c>
      <c r="H8" s="45">
        <v>8.5E7</v>
      </c>
      <c r="I8" s="42"/>
      <c r="J8" s="42"/>
      <c r="K8" s="42" t="s">
        <v>199</v>
      </c>
      <c r="L8" s="42" t="s">
        <v>200</v>
      </c>
      <c r="M8" s="46" t="s">
        <v>218</v>
      </c>
      <c r="N8" s="47">
        <f t="shared" si="1"/>
        <v>0.465408805</v>
      </c>
      <c r="O8" s="48">
        <f t="shared" si="2"/>
        <v>74000000</v>
      </c>
      <c r="P8" s="6" t="s">
        <v>219</v>
      </c>
      <c r="Q8" s="49"/>
      <c r="R8" s="49"/>
    </row>
    <row r="9" ht="22.5" customHeight="1">
      <c r="A9" s="42" t="s">
        <v>52</v>
      </c>
      <c r="B9" s="42" t="s">
        <v>46</v>
      </c>
      <c r="C9" s="42" t="s">
        <v>47</v>
      </c>
      <c r="D9" s="42" t="s">
        <v>19</v>
      </c>
      <c r="E9" s="51"/>
      <c r="F9" s="51"/>
      <c r="G9" s="44">
        <v>4.22E7</v>
      </c>
      <c r="H9" s="45">
        <v>1.98E7</v>
      </c>
      <c r="I9" s="42"/>
      <c r="J9" s="42"/>
      <c r="K9" s="42" t="s">
        <v>220</v>
      </c>
      <c r="L9" s="42" t="s">
        <v>221</v>
      </c>
      <c r="M9" s="46" t="s">
        <v>222</v>
      </c>
      <c r="N9" s="47">
        <f t="shared" si="1"/>
        <v>0.5308056872</v>
      </c>
      <c r="O9" s="48">
        <f t="shared" si="2"/>
        <v>22400000</v>
      </c>
      <c r="P9" s="6" t="s">
        <v>223</v>
      </c>
      <c r="Q9" s="49"/>
      <c r="R9" s="49"/>
    </row>
    <row r="10" ht="22.5" customHeight="1">
      <c r="A10" s="42" t="s">
        <v>224</v>
      </c>
      <c r="B10" s="42" t="s">
        <v>225</v>
      </c>
      <c r="C10" s="42" t="s">
        <v>17</v>
      </c>
      <c r="D10" s="42" t="s">
        <v>19</v>
      </c>
      <c r="E10" s="51"/>
      <c r="F10" s="51"/>
      <c r="G10" s="44">
        <v>1.4E7</v>
      </c>
      <c r="H10" s="45">
        <v>1.08532E7</v>
      </c>
      <c r="I10" s="42" t="str">
        <f>Pipeline!M16</f>
        <v/>
      </c>
      <c r="J10" s="42" t="str">
        <f>Pipeline!N16</f>
        <v/>
      </c>
      <c r="K10" s="42" t="s">
        <v>226</v>
      </c>
      <c r="L10" s="42" t="s">
        <v>227</v>
      </c>
      <c r="M10" s="46" t="s">
        <v>228</v>
      </c>
      <c r="N10" s="47">
        <f t="shared" si="1"/>
        <v>0.2247714286</v>
      </c>
      <c r="O10" s="48">
        <f t="shared" si="2"/>
        <v>3146800</v>
      </c>
      <c r="P10" s="6" t="s">
        <v>223</v>
      </c>
      <c r="Q10" s="49"/>
      <c r="R10" s="49"/>
    </row>
    <row r="11" ht="22.5" customHeight="1">
      <c r="A11" s="42" t="s">
        <v>229</v>
      </c>
      <c r="B11" s="42" t="s">
        <v>230</v>
      </c>
      <c r="C11" s="42" t="s">
        <v>17</v>
      </c>
      <c r="D11" s="42" t="s">
        <v>19</v>
      </c>
      <c r="E11" s="51"/>
      <c r="F11" s="51"/>
      <c r="G11" s="44">
        <v>1.0E8</v>
      </c>
      <c r="H11" s="52"/>
      <c r="I11" s="53"/>
      <c r="J11" s="53"/>
      <c r="K11" s="53"/>
      <c r="L11" s="53"/>
      <c r="M11" s="53"/>
      <c r="N11" s="47">
        <f t="shared" si="1"/>
        <v>1</v>
      </c>
      <c r="O11" s="48">
        <f t="shared" si="2"/>
        <v>100000000</v>
      </c>
      <c r="P11" s="6" t="s">
        <v>231</v>
      </c>
      <c r="Q11" s="49"/>
      <c r="R11" s="49"/>
    </row>
    <row r="12" ht="22.5" customHeight="1">
      <c r="A12" s="42" t="s">
        <v>60</v>
      </c>
      <c r="B12" s="42" t="s">
        <v>49</v>
      </c>
      <c r="C12" s="42" t="s">
        <v>17</v>
      </c>
      <c r="D12" s="42" t="s">
        <v>19</v>
      </c>
      <c r="E12" s="51"/>
      <c r="F12" s="51"/>
      <c r="G12" s="44">
        <v>1.5E7</v>
      </c>
      <c r="H12" s="52"/>
      <c r="I12" s="53"/>
      <c r="J12" s="53"/>
      <c r="K12" s="53"/>
      <c r="L12" s="53"/>
      <c r="M12" s="53"/>
      <c r="N12" s="47">
        <f t="shared" si="1"/>
        <v>1</v>
      </c>
      <c r="O12" s="48">
        <f t="shared" si="2"/>
        <v>15000000</v>
      </c>
      <c r="P12" s="6" t="s">
        <v>219</v>
      </c>
      <c r="Q12" s="49"/>
      <c r="R12" s="49"/>
    </row>
    <row r="13" ht="22.5" customHeight="1">
      <c r="A13" s="42" t="s">
        <v>62</v>
      </c>
      <c r="B13" s="42" t="s">
        <v>62</v>
      </c>
      <c r="C13" s="42" t="s">
        <v>17</v>
      </c>
      <c r="D13" s="42" t="s">
        <v>19</v>
      </c>
      <c r="E13" s="51"/>
      <c r="F13" s="51"/>
      <c r="G13" s="44">
        <v>1.5E7</v>
      </c>
      <c r="H13" s="52"/>
      <c r="I13" s="53"/>
      <c r="J13" s="53"/>
      <c r="K13" s="53"/>
      <c r="L13" s="53"/>
      <c r="M13" s="53"/>
      <c r="N13" s="47">
        <f t="shared" si="1"/>
        <v>1</v>
      </c>
      <c r="O13" s="48">
        <f t="shared" si="2"/>
        <v>15000000</v>
      </c>
      <c r="P13" s="6" t="s">
        <v>231</v>
      </c>
      <c r="Q13" s="49"/>
      <c r="R13" s="49"/>
    </row>
    <row r="14" ht="22.5" customHeight="1">
      <c r="A14" s="5" t="s">
        <v>94</v>
      </c>
      <c r="B14" s="5" t="s">
        <v>93</v>
      </c>
      <c r="C14" s="42" t="s">
        <v>17</v>
      </c>
      <c r="D14" s="42" t="s">
        <v>80</v>
      </c>
      <c r="E14" s="43"/>
      <c r="F14" s="43"/>
      <c r="G14" s="44">
        <v>1.5E7</v>
      </c>
      <c r="H14" s="45">
        <v>6533333.0</v>
      </c>
      <c r="I14" s="53"/>
      <c r="J14" s="53"/>
      <c r="K14" s="42" t="s">
        <v>232</v>
      </c>
      <c r="L14" s="42" t="s">
        <v>233</v>
      </c>
      <c r="M14" s="53"/>
      <c r="N14" s="47">
        <f t="shared" si="1"/>
        <v>0.5644444667</v>
      </c>
      <c r="O14" s="48">
        <f t="shared" si="2"/>
        <v>8466667</v>
      </c>
      <c r="P14" s="6" t="s">
        <v>219</v>
      </c>
      <c r="Q14" s="49"/>
      <c r="R14" s="49"/>
    </row>
    <row r="15" ht="22.5" customHeight="1">
      <c r="A15" s="42" t="s">
        <v>234</v>
      </c>
      <c r="B15" s="42" t="s">
        <v>235</v>
      </c>
      <c r="C15" s="42" t="s">
        <v>17</v>
      </c>
      <c r="D15" s="42" t="s">
        <v>80</v>
      </c>
      <c r="E15" s="51"/>
      <c r="F15" s="51"/>
      <c r="G15" s="44">
        <v>1.044E8</v>
      </c>
      <c r="H15" s="52"/>
      <c r="I15" s="53"/>
      <c r="J15" s="53"/>
      <c r="K15" s="53"/>
      <c r="L15" s="53"/>
      <c r="M15" s="53"/>
      <c r="N15" s="47"/>
      <c r="O15" s="48">
        <f t="shared" si="2"/>
        <v>104400000</v>
      </c>
      <c r="P15" s="54"/>
      <c r="Q15" s="49"/>
      <c r="R15" s="49"/>
    </row>
    <row r="16" ht="22.5" customHeight="1">
      <c r="A16" s="42" t="s">
        <v>236</v>
      </c>
      <c r="B16" s="42" t="s">
        <v>128</v>
      </c>
      <c r="C16" s="42" t="s">
        <v>17</v>
      </c>
      <c r="D16" s="42" t="s">
        <v>80</v>
      </c>
      <c r="E16" s="51"/>
      <c r="F16" s="51"/>
      <c r="G16" s="44">
        <v>7.8329E7</v>
      </c>
      <c r="H16" s="52"/>
      <c r="I16" s="53"/>
      <c r="J16" s="53"/>
      <c r="K16" s="53"/>
      <c r="L16" s="53"/>
      <c r="M16" s="53"/>
      <c r="N16" s="47"/>
      <c r="O16" s="48">
        <f t="shared" si="2"/>
        <v>78329000</v>
      </c>
      <c r="P16" s="54"/>
      <c r="Q16" s="49"/>
      <c r="R16" s="49"/>
    </row>
    <row r="17" ht="22.5" customHeight="1">
      <c r="A17" s="42" t="s">
        <v>237</v>
      </c>
      <c r="B17" s="42" t="s">
        <v>128</v>
      </c>
      <c r="C17" s="42" t="s">
        <v>17</v>
      </c>
      <c r="D17" s="42" t="s">
        <v>80</v>
      </c>
      <c r="E17" s="51"/>
      <c r="F17" s="51"/>
      <c r="G17" s="44">
        <v>5.7398E7</v>
      </c>
      <c r="H17" s="52"/>
      <c r="I17" s="53"/>
      <c r="J17" s="53"/>
      <c r="K17" s="53"/>
      <c r="L17" s="53"/>
      <c r="M17" s="53"/>
      <c r="N17" s="47"/>
      <c r="O17" s="48">
        <f t="shared" si="2"/>
        <v>57398000</v>
      </c>
      <c r="P17" s="54"/>
      <c r="Q17" s="49"/>
      <c r="R17" s="49"/>
    </row>
    <row r="18" ht="22.5" customHeight="1">
      <c r="A18" s="42" t="s">
        <v>238</v>
      </c>
      <c r="B18" s="42" t="s">
        <v>128</v>
      </c>
      <c r="C18" s="42" t="s">
        <v>17</v>
      </c>
      <c r="D18" s="42" t="s">
        <v>80</v>
      </c>
      <c r="E18" s="51"/>
      <c r="F18" s="51"/>
      <c r="G18" s="44">
        <v>1.5295E7</v>
      </c>
      <c r="H18" s="52"/>
      <c r="I18" s="53"/>
      <c r="J18" s="53"/>
      <c r="K18" s="53"/>
      <c r="L18" s="53"/>
      <c r="M18" s="53"/>
      <c r="N18" s="47"/>
      <c r="O18" s="48">
        <f t="shared" si="2"/>
        <v>15295000</v>
      </c>
      <c r="P18" s="54"/>
      <c r="Q18" s="49"/>
      <c r="R18" s="49"/>
    </row>
    <row r="19" ht="22.5" customHeight="1">
      <c r="A19" s="42" t="s">
        <v>239</v>
      </c>
      <c r="B19" s="42" t="s">
        <v>128</v>
      </c>
      <c r="C19" s="42" t="s">
        <v>17</v>
      </c>
      <c r="D19" s="42" t="s">
        <v>80</v>
      </c>
      <c r="E19" s="51"/>
      <c r="F19" s="51"/>
      <c r="G19" s="44">
        <v>4000000.0</v>
      </c>
      <c r="H19" s="52"/>
      <c r="I19" s="53"/>
      <c r="J19" s="53"/>
      <c r="K19" s="53"/>
      <c r="L19" s="53"/>
      <c r="M19" s="53"/>
      <c r="N19" s="47"/>
      <c r="O19" s="48">
        <f t="shared" si="2"/>
        <v>4000000</v>
      </c>
      <c r="P19" s="54"/>
      <c r="Q19" s="49"/>
      <c r="R19" s="49"/>
    </row>
    <row r="20" ht="22.5" customHeight="1">
      <c r="A20" s="42" t="s">
        <v>240</v>
      </c>
      <c r="B20" s="42" t="s">
        <v>128</v>
      </c>
      <c r="C20" s="42" t="s">
        <v>17</v>
      </c>
      <c r="D20" s="42" t="s">
        <v>80</v>
      </c>
      <c r="E20" s="51"/>
      <c r="F20" s="51"/>
      <c r="G20" s="44">
        <v>2.0E7</v>
      </c>
      <c r="H20" s="52"/>
      <c r="I20" s="53"/>
      <c r="J20" s="53"/>
      <c r="K20" s="53"/>
      <c r="L20" s="53"/>
      <c r="M20" s="53"/>
      <c r="N20" s="47"/>
      <c r="O20" s="48">
        <f t="shared" si="2"/>
        <v>20000000</v>
      </c>
      <c r="P20" s="54"/>
      <c r="Q20" s="49"/>
      <c r="R20" s="49"/>
    </row>
    <row r="21" ht="15.75" customHeight="1">
      <c r="A21" s="53"/>
      <c r="B21" s="53"/>
      <c r="C21" s="53"/>
      <c r="D21" s="53"/>
      <c r="E21" s="51"/>
      <c r="F21" s="51"/>
      <c r="G21" s="48">
        <f>SUM(G11:G20)</f>
        <v>424422000</v>
      </c>
      <c r="H21" s="52"/>
      <c r="I21" s="53"/>
      <c r="J21" s="53"/>
      <c r="K21" s="53"/>
      <c r="L21" s="53"/>
      <c r="M21" s="53"/>
      <c r="N21" s="47"/>
      <c r="O21" s="48">
        <f t="shared" si="2"/>
        <v>424422000</v>
      </c>
      <c r="P21" s="54"/>
      <c r="Q21" s="49"/>
      <c r="R21" s="49"/>
    </row>
    <row r="22" ht="15.75" customHeight="1">
      <c r="A22" s="53"/>
      <c r="B22" s="53"/>
      <c r="C22" s="53"/>
      <c r="D22" s="53"/>
      <c r="E22" s="51"/>
      <c r="F22" s="51"/>
      <c r="G22" s="48"/>
      <c r="H22" s="52"/>
      <c r="I22" s="53"/>
      <c r="J22" s="53"/>
      <c r="K22" s="53"/>
      <c r="L22" s="53"/>
      <c r="M22" s="53"/>
      <c r="N22" s="47"/>
      <c r="O22" s="48">
        <f t="shared" si="2"/>
        <v>0</v>
      </c>
      <c r="P22" s="54"/>
      <c r="Q22" s="49"/>
      <c r="R22" s="49"/>
    </row>
    <row r="23" ht="15.75" customHeight="1">
      <c r="A23" s="53"/>
      <c r="B23" s="53"/>
      <c r="C23" s="53"/>
      <c r="D23" s="53"/>
      <c r="E23" s="51"/>
      <c r="F23" s="51"/>
      <c r="G23" s="48"/>
      <c r="H23" s="52"/>
      <c r="I23" s="53"/>
      <c r="J23" s="53"/>
      <c r="K23" s="53"/>
      <c r="L23" s="53"/>
      <c r="M23" s="53"/>
      <c r="N23" s="47"/>
      <c r="O23" s="48">
        <f t="shared" si="2"/>
        <v>0</v>
      </c>
      <c r="P23" s="54"/>
      <c r="Q23" s="49"/>
      <c r="R23" s="49"/>
    </row>
    <row r="24" ht="15.75" customHeight="1">
      <c r="A24" s="53"/>
      <c r="B24" s="53"/>
      <c r="C24" s="53"/>
      <c r="D24" s="53"/>
      <c r="E24" s="51"/>
      <c r="F24" s="51"/>
      <c r="G24" s="48"/>
      <c r="H24" s="52"/>
      <c r="I24" s="53"/>
      <c r="J24" s="53"/>
      <c r="K24" s="53"/>
      <c r="L24" s="53"/>
      <c r="M24" s="53"/>
      <c r="N24" s="47"/>
      <c r="O24" s="48">
        <f t="shared" si="2"/>
        <v>0</v>
      </c>
      <c r="P24" s="54"/>
      <c r="Q24" s="49"/>
      <c r="R24" s="49"/>
    </row>
    <row r="25" ht="15.75" customHeight="1">
      <c r="A25" s="53"/>
      <c r="B25" s="53"/>
      <c r="C25" s="53"/>
      <c r="D25" s="53"/>
      <c r="E25" s="51"/>
      <c r="F25" s="51"/>
      <c r="G25" s="48"/>
      <c r="H25" s="52"/>
      <c r="I25" s="53"/>
      <c r="J25" s="53"/>
      <c r="K25" s="53"/>
      <c r="L25" s="53"/>
      <c r="M25" s="53"/>
      <c r="N25" s="47"/>
      <c r="O25" s="48">
        <f t="shared" si="2"/>
        <v>0</v>
      </c>
      <c r="P25" s="54"/>
      <c r="Q25" s="49"/>
      <c r="R25" s="49"/>
    </row>
    <row r="26" ht="15.75" customHeight="1">
      <c r="A26" s="53"/>
      <c r="B26" s="53"/>
      <c r="C26" s="53"/>
      <c r="D26" s="53"/>
      <c r="E26" s="51"/>
      <c r="F26" s="51"/>
      <c r="G26" s="48"/>
      <c r="H26" s="52"/>
      <c r="I26" s="53"/>
      <c r="J26" s="53"/>
      <c r="K26" s="53"/>
      <c r="L26" s="53"/>
      <c r="M26" s="53"/>
      <c r="N26" s="47"/>
      <c r="O26" s="48">
        <f t="shared" si="2"/>
        <v>0</v>
      </c>
      <c r="P26" s="54"/>
      <c r="Q26" s="49"/>
      <c r="R26" s="49"/>
    </row>
    <row r="27" ht="15.75" customHeight="1">
      <c r="E27" s="37"/>
      <c r="F27" s="37"/>
    </row>
    <row r="28" ht="15.75" customHeight="1">
      <c r="E28" s="37"/>
      <c r="F28" s="37"/>
    </row>
    <row r="29" ht="15.75" customHeight="1">
      <c r="E29" s="37"/>
      <c r="F29" s="37"/>
    </row>
    <row r="30" ht="15.75" customHeight="1">
      <c r="E30" s="37"/>
      <c r="F30" s="37"/>
    </row>
    <row r="31" ht="15.75" customHeight="1">
      <c r="E31" s="37"/>
      <c r="F31" s="37"/>
    </row>
    <row r="32" ht="15.75" customHeight="1">
      <c r="E32" s="37"/>
      <c r="F32" s="37"/>
    </row>
    <row r="33" ht="15.75" customHeight="1">
      <c r="E33" s="37"/>
      <c r="F33" s="37"/>
    </row>
    <row r="34" ht="15.75" customHeight="1">
      <c r="E34" s="37"/>
      <c r="F34" s="37"/>
    </row>
    <row r="35" ht="15.75" customHeight="1">
      <c r="E35" s="37"/>
      <c r="F35" s="37"/>
    </row>
    <row r="36" ht="15.75" customHeight="1">
      <c r="E36" s="37"/>
      <c r="F36" s="37"/>
    </row>
    <row r="37" ht="15.75" customHeight="1">
      <c r="E37" s="37"/>
      <c r="F37" s="37"/>
    </row>
    <row r="38" ht="15.75" customHeight="1">
      <c r="E38" s="37"/>
      <c r="F38" s="37"/>
    </row>
    <row r="39" ht="15.75" customHeight="1">
      <c r="E39" s="37"/>
      <c r="F39" s="37"/>
    </row>
    <row r="40" ht="15.75" customHeight="1">
      <c r="E40" s="37"/>
      <c r="F40" s="37"/>
    </row>
    <row r="41" ht="15.75" customHeight="1">
      <c r="E41" s="37"/>
      <c r="F41" s="37"/>
    </row>
    <row r="42" ht="15.75" customHeight="1">
      <c r="E42" s="37"/>
      <c r="F42" s="37"/>
    </row>
    <row r="43" ht="15.75" customHeight="1">
      <c r="E43" s="37"/>
      <c r="F43" s="37"/>
    </row>
    <row r="44" ht="15.75" customHeight="1">
      <c r="E44" s="37"/>
      <c r="F44" s="37"/>
    </row>
    <row r="45" ht="15.75" customHeight="1">
      <c r="E45" s="37"/>
      <c r="F45" s="37"/>
    </row>
    <row r="46" ht="15.75" customHeight="1">
      <c r="E46" s="37"/>
      <c r="F46" s="37"/>
    </row>
    <row r="47" ht="15.75" customHeight="1">
      <c r="E47" s="37"/>
      <c r="F47" s="37"/>
    </row>
    <row r="48" ht="15.75" customHeight="1">
      <c r="E48" s="37"/>
      <c r="F48" s="37"/>
    </row>
    <row r="49" ht="15.75" customHeight="1">
      <c r="E49" s="37"/>
      <c r="F49" s="37"/>
    </row>
    <row r="50" ht="15.75" customHeight="1">
      <c r="E50" s="37"/>
      <c r="F50" s="37"/>
    </row>
    <row r="51" ht="15.75" customHeight="1">
      <c r="E51" s="37"/>
      <c r="F51" s="37"/>
    </row>
    <row r="52" ht="15.75" customHeight="1">
      <c r="E52" s="37"/>
      <c r="F52" s="37"/>
    </row>
    <row r="53" ht="15.75" customHeight="1">
      <c r="E53" s="37"/>
      <c r="F53" s="37"/>
    </row>
    <row r="54" ht="15.75" customHeight="1">
      <c r="E54" s="37"/>
      <c r="F54" s="37"/>
    </row>
    <row r="55" ht="15.75" customHeight="1">
      <c r="E55" s="37"/>
      <c r="F55" s="37"/>
    </row>
    <row r="56" ht="15.75" customHeight="1">
      <c r="E56" s="37"/>
      <c r="F56" s="37"/>
    </row>
    <row r="57" ht="15.75" customHeight="1">
      <c r="E57" s="37"/>
      <c r="F57" s="37"/>
    </row>
    <row r="58" ht="15.75" customHeight="1">
      <c r="E58" s="37"/>
      <c r="F58" s="37"/>
    </row>
    <row r="59" ht="15.75" customHeight="1">
      <c r="E59" s="37"/>
      <c r="F59" s="37"/>
    </row>
    <row r="60" ht="15.75" customHeight="1">
      <c r="E60" s="37"/>
      <c r="F60" s="37"/>
    </row>
    <row r="61" ht="15.75" customHeight="1">
      <c r="E61" s="37"/>
      <c r="F61" s="37"/>
    </row>
    <row r="62" ht="15.75" customHeight="1">
      <c r="E62" s="37"/>
      <c r="F62" s="37"/>
    </row>
    <row r="63" ht="15.75" customHeight="1">
      <c r="E63" s="37"/>
      <c r="F63" s="37"/>
    </row>
    <row r="64" ht="15.75" customHeight="1">
      <c r="E64" s="37"/>
      <c r="F64" s="37"/>
    </row>
    <row r="65" ht="15.75" customHeight="1">
      <c r="E65" s="37"/>
      <c r="F65" s="37"/>
    </row>
    <row r="66" ht="15.75" customHeight="1">
      <c r="E66" s="37"/>
      <c r="F66" s="37"/>
    </row>
    <row r="67" ht="15.75" customHeight="1">
      <c r="E67" s="37"/>
      <c r="F67" s="37"/>
    </row>
    <row r="68" ht="15.75" customHeight="1">
      <c r="E68" s="37"/>
      <c r="F68" s="37"/>
    </row>
    <row r="69" ht="15.75" customHeight="1">
      <c r="E69" s="37"/>
      <c r="F69" s="37"/>
    </row>
    <row r="70" ht="15.75" customHeight="1">
      <c r="E70" s="37"/>
      <c r="F70" s="37"/>
    </row>
    <row r="71" ht="15.75" customHeight="1">
      <c r="E71" s="37"/>
      <c r="F71" s="37"/>
    </row>
    <row r="72" ht="15.75" customHeight="1">
      <c r="E72" s="37"/>
      <c r="F72" s="37"/>
    </row>
    <row r="73" ht="15.75" customHeight="1">
      <c r="E73" s="37"/>
      <c r="F73" s="37"/>
    </row>
    <row r="74" ht="15.75" customHeight="1">
      <c r="E74" s="37"/>
      <c r="F74" s="37"/>
    </row>
    <row r="75" ht="15.75" customHeight="1">
      <c r="E75" s="37"/>
      <c r="F75" s="37"/>
    </row>
    <row r="76" ht="15.75" customHeight="1">
      <c r="E76" s="37"/>
      <c r="F76" s="37"/>
    </row>
    <row r="77" ht="15.75" customHeight="1">
      <c r="E77" s="37"/>
      <c r="F77" s="37"/>
    </row>
    <row r="78" ht="15.75" customHeight="1">
      <c r="E78" s="37"/>
      <c r="F78" s="37"/>
    </row>
    <row r="79" ht="15.75" customHeight="1">
      <c r="E79" s="37"/>
      <c r="F79" s="37"/>
    </row>
    <row r="80" ht="15.75" customHeight="1">
      <c r="E80" s="37"/>
      <c r="F80" s="37"/>
    </row>
    <row r="81" ht="15.75" customHeight="1">
      <c r="E81" s="37"/>
      <c r="F81" s="37"/>
    </row>
    <row r="82" ht="15.75" customHeight="1">
      <c r="E82" s="37"/>
      <c r="F82" s="37"/>
    </row>
    <row r="83" ht="15.75" customHeight="1">
      <c r="E83" s="37"/>
      <c r="F83" s="37"/>
    </row>
    <row r="84" ht="15.75" customHeight="1">
      <c r="E84" s="37"/>
      <c r="F84" s="37"/>
    </row>
    <row r="85" ht="15.75" customHeight="1">
      <c r="E85" s="37"/>
      <c r="F85" s="37"/>
    </row>
    <row r="86" ht="15.75" customHeight="1">
      <c r="E86" s="37"/>
      <c r="F86" s="37"/>
    </row>
    <row r="87" ht="15.75" customHeight="1">
      <c r="E87" s="37"/>
      <c r="F87" s="37"/>
    </row>
    <row r="88" ht="15.75" customHeight="1">
      <c r="E88" s="37"/>
      <c r="F88" s="37"/>
    </row>
    <row r="89" ht="15.75" customHeight="1">
      <c r="E89" s="37"/>
      <c r="F89" s="37"/>
    </row>
    <row r="90" ht="15.75" customHeight="1">
      <c r="E90" s="37"/>
      <c r="F90" s="37"/>
    </row>
    <row r="91" ht="15.75" customHeight="1">
      <c r="E91" s="37"/>
      <c r="F91" s="37"/>
    </row>
    <row r="92" ht="15.75" customHeight="1">
      <c r="E92" s="37"/>
      <c r="F92" s="37"/>
    </row>
    <row r="93" ht="15.75" customHeight="1">
      <c r="E93" s="37"/>
      <c r="F93" s="37"/>
    </row>
    <row r="94" ht="15.75" customHeight="1">
      <c r="E94" s="37"/>
      <c r="F94" s="37"/>
    </row>
    <row r="95" ht="15.75" customHeight="1">
      <c r="E95" s="37"/>
      <c r="F95" s="37"/>
    </row>
    <row r="96" ht="15.75" customHeight="1">
      <c r="E96" s="37"/>
      <c r="F96" s="37"/>
    </row>
    <row r="97" ht="15.75" customHeight="1">
      <c r="E97" s="37"/>
      <c r="F97" s="37"/>
    </row>
    <row r="98" ht="15.75" customHeight="1">
      <c r="E98" s="37"/>
      <c r="F98" s="37"/>
    </row>
    <row r="99" ht="15.75" customHeight="1">
      <c r="E99" s="37"/>
      <c r="F99" s="37"/>
    </row>
    <row r="100" ht="15.75" customHeight="1">
      <c r="E100" s="37"/>
      <c r="F100" s="37"/>
    </row>
    <row r="101" ht="15.75" customHeight="1">
      <c r="E101" s="37"/>
      <c r="F101" s="37"/>
    </row>
    <row r="102" ht="15.75" customHeight="1">
      <c r="E102" s="37"/>
      <c r="F102" s="37"/>
    </row>
    <row r="103" ht="15.75" customHeight="1">
      <c r="E103" s="37"/>
      <c r="F103" s="37"/>
    </row>
    <row r="104" ht="15.75" customHeight="1">
      <c r="E104" s="37"/>
      <c r="F104" s="37"/>
    </row>
    <row r="105" ht="15.75" customHeight="1">
      <c r="E105" s="37"/>
      <c r="F105" s="37"/>
    </row>
    <row r="106" ht="15.75" customHeight="1">
      <c r="E106" s="37"/>
      <c r="F106" s="37"/>
    </row>
    <row r="107" ht="15.75" customHeight="1">
      <c r="E107" s="37"/>
      <c r="F107" s="37"/>
    </row>
    <row r="108" ht="15.75" customHeight="1">
      <c r="E108" s="37"/>
      <c r="F108" s="37"/>
    </row>
    <row r="109" ht="15.75" customHeight="1">
      <c r="E109" s="37"/>
      <c r="F109" s="37"/>
    </row>
    <row r="110" ht="15.75" customHeight="1">
      <c r="E110" s="37"/>
      <c r="F110" s="37"/>
    </row>
    <row r="111" ht="15.75" customHeight="1">
      <c r="E111" s="37"/>
      <c r="F111" s="37"/>
    </row>
    <row r="112" ht="15.75" customHeight="1">
      <c r="E112" s="37"/>
      <c r="F112" s="37"/>
    </row>
    <row r="113" ht="15.75" customHeight="1">
      <c r="E113" s="37"/>
      <c r="F113" s="37"/>
    </row>
    <row r="114" ht="15.75" customHeight="1">
      <c r="E114" s="37"/>
      <c r="F114" s="37"/>
    </row>
    <row r="115" ht="15.75" customHeight="1">
      <c r="E115" s="37"/>
      <c r="F115" s="37"/>
    </row>
    <row r="116" ht="15.75" customHeight="1">
      <c r="E116" s="37"/>
      <c r="F116" s="37"/>
    </row>
    <row r="117" ht="15.75" customHeight="1">
      <c r="E117" s="37"/>
      <c r="F117" s="37"/>
    </row>
    <row r="118" ht="15.75" customHeight="1">
      <c r="E118" s="37"/>
      <c r="F118" s="37"/>
    </row>
    <row r="119" ht="15.75" customHeight="1">
      <c r="E119" s="37"/>
      <c r="F119" s="37"/>
    </row>
    <row r="120" ht="15.75" customHeight="1">
      <c r="E120" s="37"/>
      <c r="F120" s="37"/>
    </row>
    <row r="121" ht="15.75" customHeight="1">
      <c r="E121" s="37"/>
      <c r="F121" s="37"/>
    </row>
    <row r="122" ht="15.75" customHeight="1">
      <c r="E122" s="37"/>
      <c r="F122" s="37"/>
    </row>
    <row r="123" ht="15.75" customHeight="1">
      <c r="E123" s="37"/>
      <c r="F123" s="37"/>
    </row>
    <row r="124" ht="15.75" customHeight="1">
      <c r="E124" s="37"/>
      <c r="F124" s="37"/>
    </row>
    <row r="125" ht="15.75" customHeight="1">
      <c r="E125" s="37"/>
      <c r="F125" s="37"/>
    </row>
    <row r="126" ht="15.75" customHeight="1">
      <c r="E126" s="37"/>
      <c r="F126" s="37"/>
    </row>
    <row r="127" ht="15.75" customHeight="1">
      <c r="E127" s="37"/>
      <c r="F127" s="37"/>
    </row>
    <row r="128" ht="15.75" customHeight="1">
      <c r="E128" s="37"/>
      <c r="F128" s="37"/>
    </row>
    <row r="129" ht="15.75" customHeight="1">
      <c r="E129" s="37"/>
      <c r="F129" s="37"/>
    </row>
    <row r="130" ht="15.75" customHeight="1">
      <c r="E130" s="37"/>
      <c r="F130" s="37"/>
    </row>
    <row r="131" ht="15.75" customHeight="1">
      <c r="E131" s="37"/>
      <c r="F131" s="37"/>
    </row>
    <row r="132" ht="15.75" customHeight="1">
      <c r="E132" s="37"/>
      <c r="F132" s="37"/>
    </row>
    <row r="133" ht="15.75" customHeight="1">
      <c r="E133" s="37"/>
      <c r="F133" s="37"/>
    </row>
    <row r="134" ht="15.75" customHeight="1">
      <c r="E134" s="37"/>
      <c r="F134" s="37"/>
    </row>
    <row r="135" ht="15.75" customHeight="1">
      <c r="E135" s="37"/>
      <c r="F135" s="37"/>
    </row>
    <row r="136" ht="15.75" customHeight="1">
      <c r="E136" s="37"/>
      <c r="F136" s="37"/>
    </row>
    <row r="137" ht="15.75" customHeight="1">
      <c r="E137" s="37"/>
      <c r="F137" s="37"/>
    </row>
    <row r="138" ht="15.75" customHeight="1">
      <c r="E138" s="37"/>
      <c r="F138" s="37"/>
    </row>
    <row r="139" ht="15.75" customHeight="1">
      <c r="E139" s="37"/>
      <c r="F139" s="37"/>
    </row>
    <row r="140" ht="15.75" customHeight="1">
      <c r="E140" s="37"/>
      <c r="F140" s="37"/>
    </row>
    <row r="141" ht="15.75" customHeight="1">
      <c r="E141" s="37"/>
      <c r="F141" s="37"/>
    </row>
    <row r="142" ht="15.75" customHeight="1">
      <c r="E142" s="37"/>
      <c r="F142" s="37"/>
    </row>
    <row r="143" ht="15.75" customHeight="1">
      <c r="E143" s="37"/>
      <c r="F143" s="37"/>
    </row>
    <row r="144" ht="15.75" customHeight="1">
      <c r="E144" s="37"/>
      <c r="F144" s="37"/>
    </row>
    <row r="145" ht="15.75" customHeight="1">
      <c r="E145" s="37"/>
      <c r="F145" s="37"/>
    </row>
    <row r="146" ht="15.75" customHeight="1">
      <c r="E146" s="37"/>
      <c r="F146" s="37"/>
    </row>
    <row r="147" ht="15.75" customHeight="1">
      <c r="E147" s="37"/>
      <c r="F147" s="37"/>
    </row>
    <row r="148" ht="15.75" customHeight="1">
      <c r="E148" s="37"/>
      <c r="F148" s="37"/>
    </row>
    <row r="149" ht="15.75" customHeight="1">
      <c r="E149" s="37"/>
      <c r="F149" s="37"/>
    </row>
    <row r="150" ht="15.75" customHeight="1">
      <c r="E150" s="37"/>
      <c r="F150" s="37"/>
    </row>
    <row r="151" ht="15.75" customHeight="1">
      <c r="E151" s="37"/>
      <c r="F151" s="37"/>
    </row>
    <row r="152" ht="15.75" customHeight="1">
      <c r="E152" s="37"/>
      <c r="F152" s="37"/>
    </row>
    <row r="153" ht="15.75" customHeight="1">
      <c r="E153" s="37"/>
      <c r="F153" s="37"/>
    </row>
    <row r="154" ht="15.75" customHeight="1">
      <c r="E154" s="37"/>
      <c r="F154" s="37"/>
    </row>
    <row r="155" ht="15.75" customHeight="1">
      <c r="E155" s="37"/>
      <c r="F155" s="37"/>
    </row>
    <row r="156" ht="15.75" customHeight="1">
      <c r="E156" s="37"/>
      <c r="F156" s="37"/>
    </row>
    <row r="157" ht="15.75" customHeight="1">
      <c r="E157" s="37"/>
      <c r="F157" s="37"/>
    </row>
    <row r="158" ht="15.75" customHeight="1">
      <c r="E158" s="37"/>
      <c r="F158" s="37"/>
    </row>
    <row r="159" ht="15.75" customHeight="1">
      <c r="E159" s="37"/>
      <c r="F159" s="37"/>
    </row>
    <row r="160" ht="15.75" customHeight="1">
      <c r="E160" s="37"/>
      <c r="F160" s="37"/>
    </row>
    <row r="161" ht="15.75" customHeight="1">
      <c r="E161" s="37"/>
      <c r="F161" s="37"/>
    </row>
    <row r="162" ht="15.75" customHeight="1">
      <c r="E162" s="37"/>
      <c r="F162" s="37"/>
    </row>
    <row r="163" ht="15.75" customHeight="1">
      <c r="E163" s="37"/>
      <c r="F163" s="37"/>
    </row>
    <row r="164" ht="15.75" customHeight="1">
      <c r="E164" s="37"/>
      <c r="F164" s="37"/>
    </row>
    <row r="165" ht="15.75" customHeight="1">
      <c r="E165" s="37"/>
      <c r="F165" s="37"/>
    </row>
    <row r="166" ht="15.75" customHeight="1">
      <c r="E166" s="37"/>
      <c r="F166" s="37"/>
    </row>
    <row r="167" ht="15.75" customHeight="1">
      <c r="E167" s="37"/>
      <c r="F167" s="37"/>
    </row>
    <row r="168" ht="15.75" customHeight="1">
      <c r="E168" s="37"/>
      <c r="F168" s="37"/>
    </row>
    <row r="169" ht="15.75" customHeight="1">
      <c r="E169" s="37"/>
      <c r="F169" s="37"/>
    </row>
    <row r="170" ht="15.75" customHeight="1">
      <c r="E170" s="37"/>
      <c r="F170" s="37"/>
    </row>
    <row r="171" ht="15.75" customHeight="1">
      <c r="E171" s="37"/>
      <c r="F171" s="37"/>
    </row>
    <row r="172" ht="15.75" customHeight="1">
      <c r="E172" s="37"/>
      <c r="F172" s="37"/>
    </row>
    <row r="173" ht="15.75" customHeight="1">
      <c r="E173" s="37"/>
      <c r="F173" s="37"/>
    </row>
    <row r="174" ht="15.75" customHeight="1">
      <c r="E174" s="37"/>
      <c r="F174" s="37"/>
    </row>
    <row r="175" ht="15.75" customHeight="1">
      <c r="E175" s="37"/>
      <c r="F175" s="37"/>
    </row>
    <row r="176" ht="15.75" customHeight="1">
      <c r="E176" s="37"/>
      <c r="F176" s="37"/>
    </row>
    <row r="177" ht="15.75" customHeight="1">
      <c r="E177" s="37"/>
      <c r="F177" s="37"/>
    </row>
    <row r="178" ht="15.75" customHeight="1">
      <c r="E178" s="37"/>
      <c r="F178" s="37"/>
    </row>
    <row r="179" ht="15.75" customHeight="1">
      <c r="E179" s="37"/>
      <c r="F179" s="37"/>
    </row>
    <row r="180" ht="15.75" customHeight="1">
      <c r="E180" s="37"/>
      <c r="F180" s="37"/>
    </row>
    <row r="181" ht="15.75" customHeight="1">
      <c r="E181" s="37"/>
      <c r="F181" s="37"/>
    </row>
    <row r="182" ht="15.75" customHeight="1">
      <c r="E182" s="37"/>
      <c r="F182" s="37"/>
    </row>
    <row r="183" ht="15.75" customHeight="1">
      <c r="E183" s="37"/>
      <c r="F183" s="37"/>
    </row>
    <row r="184" ht="15.75" customHeight="1">
      <c r="E184" s="37"/>
      <c r="F184" s="37"/>
    </row>
    <row r="185" ht="15.75" customHeight="1">
      <c r="E185" s="37"/>
      <c r="F185" s="37"/>
    </row>
    <row r="186" ht="15.75" customHeight="1">
      <c r="E186" s="37"/>
      <c r="F186" s="37"/>
    </row>
    <row r="187" ht="15.75" customHeight="1">
      <c r="E187" s="37"/>
      <c r="F187" s="37"/>
    </row>
    <row r="188" ht="15.75" customHeight="1">
      <c r="E188" s="37"/>
      <c r="F188" s="37"/>
    </row>
    <row r="189" ht="15.75" customHeight="1">
      <c r="E189" s="37"/>
      <c r="F189" s="37"/>
    </row>
    <row r="190" ht="15.75" customHeight="1">
      <c r="E190" s="37"/>
      <c r="F190" s="37"/>
    </row>
    <row r="191" ht="15.75" customHeight="1">
      <c r="E191" s="37"/>
      <c r="F191" s="37"/>
    </row>
    <row r="192" ht="15.75" customHeight="1">
      <c r="E192" s="37"/>
      <c r="F192" s="37"/>
    </row>
    <row r="193" ht="15.75" customHeight="1">
      <c r="E193" s="37"/>
      <c r="F193" s="37"/>
    </row>
    <row r="194" ht="15.75" customHeight="1">
      <c r="E194" s="37"/>
      <c r="F194" s="37"/>
    </row>
    <row r="195" ht="15.75" customHeight="1">
      <c r="E195" s="37"/>
      <c r="F195" s="37"/>
    </row>
    <row r="196" ht="15.75" customHeight="1">
      <c r="E196" s="37"/>
      <c r="F196" s="37"/>
    </row>
    <row r="197" ht="15.75" customHeight="1">
      <c r="E197" s="37"/>
      <c r="F197" s="37"/>
    </row>
    <row r="198" ht="15.75" customHeight="1">
      <c r="E198" s="37"/>
      <c r="F198" s="37"/>
    </row>
    <row r="199" ht="15.75" customHeight="1">
      <c r="E199" s="37"/>
      <c r="F199" s="37"/>
    </row>
    <row r="200" ht="15.75" customHeight="1">
      <c r="E200" s="37"/>
      <c r="F200" s="37"/>
    </row>
    <row r="201" ht="15.75" customHeight="1">
      <c r="E201" s="37"/>
      <c r="F201" s="37"/>
    </row>
    <row r="202" ht="15.75" customHeight="1">
      <c r="E202" s="37"/>
      <c r="F202" s="37"/>
    </row>
    <row r="203" ht="15.75" customHeight="1">
      <c r="E203" s="37"/>
      <c r="F203" s="37"/>
    </row>
    <row r="204" ht="15.75" customHeight="1">
      <c r="E204" s="37"/>
      <c r="F204" s="37"/>
    </row>
    <row r="205" ht="15.75" customHeight="1">
      <c r="E205" s="37"/>
      <c r="F205" s="37"/>
    </row>
    <row r="206" ht="15.75" customHeight="1">
      <c r="E206" s="37"/>
      <c r="F206" s="37"/>
    </row>
    <row r="207" ht="15.75" customHeight="1">
      <c r="E207" s="37"/>
      <c r="F207" s="37"/>
    </row>
    <row r="208" ht="15.75" customHeight="1">
      <c r="E208" s="37"/>
      <c r="F208" s="37"/>
    </row>
    <row r="209" ht="15.75" customHeight="1">
      <c r="E209" s="37"/>
      <c r="F209" s="37"/>
    </row>
    <row r="210" ht="15.75" customHeight="1">
      <c r="E210" s="37"/>
      <c r="F210" s="37"/>
    </row>
    <row r="211" ht="15.75" customHeight="1">
      <c r="E211" s="37"/>
      <c r="F211" s="37"/>
    </row>
    <row r="212" ht="15.75" customHeight="1">
      <c r="E212" s="37"/>
      <c r="F212" s="37"/>
    </row>
    <row r="213" ht="15.75" customHeight="1">
      <c r="E213" s="37"/>
      <c r="F213" s="37"/>
    </row>
    <row r="214" ht="15.75" customHeight="1">
      <c r="E214" s="37"/>
      <c r="F214" s="37"/>
    </row>
    <row r="215" ht="15.75" customHeight="1">
      <c r="E215" s="37"/>
      <c r="F215" s="37"/>
    </row>
    <row r="216" ht="15.75" customHeight="1">
      <c r="E216" s="37"/>
      <c r="F216" s="37"/>
    </row>
    <row r="217" ht="15.75" customHeight="1">
      <c r="E217" s="37"/>
      <c r="F217" s="37"/>
    </row>
    <row r="218" ht="15.75" customHeight="1">
      <c r="E218" s="37"/>
      <c r="F218" s="37"/>
    </row>
    <row r="219" ht="15.75" customHeight="1">
      <c r="E219" s="37"/>
      <c r="F219" s="37"/>
    </row>
    <row r="220" ht="15.75" customHeight="1">
      <c r="E220" s="37"/>
      <c r="F220" s="37"/>
    </row>
    <row r="221" ht="15.75" customHeight="1">
      <c r="E221" s="37"/>
      <c r="F221" s="37"/>
    </row>
    <row r="222" ht="15.75" customHeight="1">
      <c r="E222" s="37"/>
      <c r="F222" s="37"/>
    </row>
    <row r="223" ht="15.75" customHeight="1">
      <c r="E223" s="37"/>
      <c r="F223" s="37"/>
    </row>
    <row r="224" ht="15.75" customHeight="1">
      <c r="E224" s="37"/>
      <c r="F224" s="37"/>
    </row>
    <row r="225" ht="15.75" customHeight="1">
      <c r="E225" s="37"/>
      <c r="F225" s="37"/>
    </row>
    <row r="226" ht="15.75" customHeight="1">
      <c r="E226" s="37"/>
      <c r="F226" s="37"/>
    </row>
    <row r="227" ht="15.75" customHeight="1">
      <c r="E227" s="37"/>
      <c r="F227" s="37"/>
    </row>
    <row r="228" ht="15.75" customHeight="1">
      <c r="E228" s="37"/>
      <c r="F228" s="37"/>
    </row>
    <row r="229" ht="15.75" customHeight="1">
      <c r="E229" s="37"/>
      <c r="F229" s="37"/>
    </row>
    <row r="230" ht="15.75" customHeight="1">
      <c r="E230" s="37"/>
      <c r="F230" s="37"/>
    </row>
    <row r="231" ht="15.75" customHeight="1">
      <c r="E231" s="37"/>
      <c r="F231" s="37"/>
    </row>
    <row r="232" ht="15.75" customHeight="1">
      <c r="E232" s="37"/>
      <c r="F232" s="37"/>
    </row>
    <row r="233" ht="15.75" customHeight="1">
      <c r="E233" s="37"/>
      <c r="F233" s="37"/>
    </row>
    <row r="234" ht="15.75" customHeight="1">
      <c r="E234" s="37"/>
      <c r="F234" s="37"/>
    </row>
    <row r="235" ht="15.75" customHeight="1">
      <c r="E235" s="37"/>
      <c r="F235" s="37"/>
    </row>
    <row r="236" ht="15.75" customHeight="1">
      <c r="E236" s="37"/>
      <c r="F236" s="37"/>
    </row>
    <row r="237" ht="15.75" customHeight="1">
      <c r="E237" s="37"/>
      <c r="F237" s="37"/>
    </row>
    <row r="238" ht="15.75" customHeight="1">
      <c r="E238" s="37"/>
      <c r="F238" s="37"/>
    </row>
    <row r="239" ht="15.75" customHeight="1">
      <c r="E239" s="37"/>
      <c r="F239" s="37"/>
    </row>
    <row r="240" ht="15.75" customHeight="1">
      <c r="E240" s="37"/>
      <c r="F240" s="37"/>
    </row>
    <row r="241" ht="15.75" customHeight="1">
      <c r="E241" s="37"/>
      <c r="F241" s="37"/>
    </row>
    <row r="242" ht="15.75" customHeight="1">
      <c r="E242" s="37"/>
      <c r="F242" s="37"/>
    </row>
    <row r="243" ht="15.75" customHeight="1">
      <c r="E243" s="37"/>
      <c r="F243" s="37"/>
    </row>
    <row r="244" ht="15.75" customHeight="1">
      <c r="E244" s="37"/>
      <c r="F244" s="37"/>
    </row>
    <row r="245" ht="15.75" customHeight="1">
      <c r="E245" s="37"/>
      <c r="F245" s="37"/>
    </row>
    <row r="246" ht="15.75" customHeight="1">
      <c r="E246" s="37"/>
      <c r="F246" s="37"/>
    </row>
    <row r="247" ht="15.75" customHeight="1">
      <c r="E247" s="37"/>
      <c r="F247" s="37"/>
    </row>
    <row r="248" ht="15.75" customHeight="1">
      <c r="E248" s="37"/>
      <c r="F248" s="37"/>
    </row>
    <row r="249" ht="15.75" customHeight="1">
      <c r="E249" s="37"/>
      <c r="F249" s="37"/>
    </row>
    <row r="250" ht="15.75" customHeight="1">
      <c r="E250" s="37"/>
      <c r="F250" s="37"/>
    </row>
    <row r="251" ht="15.75" customHeight="1">
      <c r="E251" s="37"/>
      <c r="F251" s="37"/>
    </row>
    <row r="252" ht="15.75" customHeight="1">
      <c r="E252" s="37"/>
      <c r="F252" s="37"/>
    </row>
    <row r="253" ht="15.75" customHeight="1">
      <c r="E253" s="37"/>
      <c r="F253" s="37"/>
    </row>
    <row r="254" ht="15.75" customHeight="1">
      <c r="E254" s="37"/>
      <c r="F254" s="37"/>
    </row>
    <row r="255" ht="15.75" customHeight="1">
      <c r="E255" s="37"/>
      <c r="F255" s="37"/>
    </row>
    <row r="256" ht="15.75" customHeight="1">
      <c r="E256" s="37"/>
      <c r="F256" s="37"/>
    </row>
    <row r="257" ht="15.75" customHeight="1">
      <c r="E257" s="37"/>
      <c r="F257" s="37"/>
    </row>
    <row r="258" ht="15.75" customHeight="1">
      <c r="E258" s="37"/>
      <c r="F258" s="37"/>
    </row>
    <row r="259" ht="15.75" customHeight="1">
      <c r="E259" s="37"/>
      <c r="F259" s="37"/>
    </row>
    <row r="260" ht="15.75" customHeight="1">
      <c r="E260" s="37"/>
      <c r="F260" s="37"/>
    </row>
    <row r="261" ht="15.75" customHeight="1">
      <c r="E261" s="37"/>
      <c r="F261" s="37"/>
    </row>
    <row r="262" ht="15.75" customHeight="1">
      <c r="E262" s="37"/>
      <c r="F262" s="37"/>
    </row>
    <row r="263" ht="15.75" customHeight="1">
      <c r="E263" s="37"/>
      <c r="F263" s="37"/>
    </row>
    <row r="264" ht="15.75" customHeight="1">
      <c r="E264" s="37"/>
      <c r="F264" s="37"/>
    </row>
    <row r="265" ht="15.75" customHeight="1">
      <c r="E265" s="37"/>
      <c r="F265" s="37"/>
    </row>
    <row r="266" ht="15.75" customHeight="1">
      <c r="E266" s="37"/>
      <c r="F266" s="37"/>
    </row>
    <row r="267" ht="15.75" customHeight="1">
      <c r="E267" s="37"/>
      <c r="F267" s="37"/>
    </row>
    <row r="268" ht="15.75" customHeight="1">
      <c r="E268" s="37"/>
      <c r="F268" s="37"/>
    </row>
    <row r="269" ht="15.75" customHeight="1">
      <c r="E269" s="37"/>
      <c r="F269" s="37"/>
    </row>
    <row r="270" ht="15.75" customHeight="1">
      <c r="E270" s="37"/>
      <c r="F270" s="37"/>
    </row>
    <row r="271" ht="15.75" customHeight="1">
      <c r="E271" s="37"/>
      <c r="F271" s="37"/>
    </row>
    <row r="272" ht="15.75" customHeight="1">
      <c r="E272" s="37"/>
      <c r="F272" s="37"/>
    </row>
    <row r="273" ht="15.75" customHeight="1">
      <c r="E273" s="37"/>
      <c r="F273" s="37"/>
    </row>
    <row r="274" ht="15.75" customHeight="1">
      <c r="E274" s="37"/>
      <c r="F274" s="37"/>
    </row>
    <row r="275" ht="15.75" customHeight="1">
      <c r="E275" s="37"/>
      <c r="F275" s="37"/>
    </row>
    <row r="276" ht="15.75" customHeight="1">
      <c r="E276" s="37"/>
      <c r="F276" s="37"/>
    </row>
    <row r="277" ht="15.75" customHeight="1">
      <c r="E277" s="37"/>
      <c r="F277" s="37"/>
    </row>
    <row r="278" ht="15.75" customHeight="1">
      <c r="E278" s="37"/>
      <c r="F278" s="37"/>
    </row>
    <row r="279" ht="15.75" customHeight="1">
      <c r="E279" s="37"/>
      <c r="F279" s="37"/>
    </row>
    <row r="280" ht="15.75" customHeight="1">
      <c r="E280" s="37"/>
      <c r="F280" s="37"/>
    </row>
    <row r="281" ht="15.75" customHeight="1">
      <c r="E281" s="37"/>
      <c r="F281" s="37"/>
    </row>
    <row r="282" ht="15.75" customHeight="1">
      <c r="E282" s="37"/>
      <c r="F282" s="37"/>
    </row>
    <row r="283" ht="15.75" customHeight="1">
      <c r="E283" s="37"/>
      <c r="F283" s="37"/>
    </row>
    <row r="284" ht="15.75" customHeight="1">
      <c r="E284" s="37"/>
      <c r="F284" s="37"/>
    </row>
    <row r="285" ht="15.75" customHeight="1">
      <c r="E285" s="37"/>
      <c r="F285" s="37"/>
    </row>
    <row r="286" ht="15.75" customHeight="1">
      <c r="E286" s="37"/>
      <c r="F286" s="37"/>
    </row>
    <row r="287" ht="15.75" customHeight="1">
      <c r="E287" s="37"/>
      <c r="F287" s="37"/>
    </row>
    <row r="288" ht="15.75" customHeight="1">
      <c r="E288" s="37"/>
      <c r="F288" s="37"/>
    </row>
    <row r="289" ht="15.75" customHeight="1">
      <c r="E289" s="37"/>
      <c r="F289" s="37"/>
    </row>
    <row r="290" ht="15.75" customHeight="1">
      <c r="E290" s="37"/>
      <c r="F290" s="37"/>
    </row>
    <row r="291" ht="15.75" customHeight="1">
      <c r="E291" s="37"/>
      <c r="F291" s="37"/>
    </row>
    <row r="292" ht="15.75" customHeight="1">
      <c r="E292" s="37"/>
      <c r="F292" s="37"/>
    </row>
    <row r="293" ht="15.75" customHeight="1">
      <c r="E293" s="37"/>
      <c r="F293" s="37"/>
    </row>
    <row r="294" ht="15.75" customHeight="1">
      <c r="E294" s="37"/>
      <c r="F294" s="37"/>
    </row>
    <row r="295" ht="15.75" customHeight="1">
      <c r="E295" s="37"/>
      <c r="F295" s="37"/>
    </row>
    <row r="296" ht="15.75" customHeight="1">
      <c r="E296" s="37"/>
      <c r="F296" s="37"/>
    </row>
    <row r="297" ht="15.75" customHeight="1">
      <c r="E297" s="37"/>
      <c r="F297" s="37"/>
    </row>
    <row r="298" ht="15.75" customHeight="1">
      <c r="E298" s="37"/>
      <c r="F298" s="37"/>
    </row>
    <row r="299" ht="15.75" customHeight="1">
      <c r="E299" s="37"/>
      <c r="F299" s="37"/>
    </row>
    <row r="300" ht="15.75" customHeight="1">
      <c r="E300" s="37"/>
      <c r="F300" s="37"/>
    </row>
    <row r="301" ht="15.75" customHeight="1">
      <c r="E301" s="37"/>
      <c r="F301" s="37"/>
    </row>
    <row r="302" ht="15.75" customHeight="1">
      <c r="E302" s="37"/>
      <c r="F302" s="37"/>
    </row>
    <row r="303" ht="15.75" customHeight="1">
      <c r="E303" s="37"/>
      <c r="F303" s="37"/>
    </row>
    <row r="304" ht="15.75" customHeight="1">
      <c r="E304" s="37"/>
      <c r="F304" s="37"/>
    </row>
    <row r="305" ht="15.75" customHeight="1">
      <c r="E305" s="37"/>
      <c r="F305" s="37"/>
    </row>
    <row r="306" ht="15.75" customHeight="1">
      <c r="E306" s="37"/>
      <c r="F306" s="37"/>
    </row>
    <row r="307" ht="15.75" customHeight="1">
      <c r="E307" s="37"/>
      <c r="F307" s="37"/>
    </row>
    <row r="308" ht="15.75" customHeight="1">
      <c r="E308" s="37"/>
      <c r="F308" s="37"/>
    </row>
    <row r="309" ht="15.75" customHeight="1">
      <c r="E309" s="37"/>
      <c r="F309" s="37"/>
    </row>
    <row r="310" ht="15.75" customHeight="1">
      <c r="E310" s="37"/>
      <c r="F310" s="37"/>
    </row>
    <row r="311" ht="15.75" customHeight="1">
      <c r="E311" s="37"/>
      <c r="F311" s="37"/>
    </row>
    <row r="312" ht="15.75" customHeight="1">
      <c r="E312" s="37"/>
      <c r="F312" s="37"/>
    </row>
    <row r="313" ht="15.75" customHeight="1">
      <c r="E313" s="37"/>
      <c r="F313" s="37"/>
    </row>
    <row r="314" ht="15.75" customHeight="1">
      <c r="E314" s="37"/>
      <c r="F314" s="37"/>
    </row>
    <row r="315" ht="15.75" customHeight="1">
      <c r="E315" s="37"/>
      <c r="F315" s="37"/>
    </row>
    <row r="316" ht="15.75" customHeight="1">
      <c r="E316" s="37"/>
      <c r="F316" s="37"/>
    </row>
    <row r="317" ht="15.75" customHeight="1">
      <c r="E317" s="37"/>
      <c r="F317" s="37"/>
    </row>
    <row r="318" ht="15.75" customHeight="1">
      <c r="E318" s="37"/>
      <c r="F318" s="37"/>
    </row>
    <row r="319" ht="15.75" customHeight="1">
      <c r="E319" s="37"/>
      <c r="F319" s="37"/>
    </row>
    <row r="320" ht="15.75" customHeight="1">
      <c r="E320" s="37"/>
      <c r="F320" s="37"/>
    </row>
    <row r="321" ht="15.75" customHeight="1">
      <c r="E321" s="37"/>
      <c r="F321" s="37"/>
    </row>
    <row r="322" ht="15.75" customHeight="1">
      <c r="E322" s="37"/>
      <c r="F322" s="37"/>
    </row>
    <row r="323" ht="15.75" customHeight="1">
      <c r="E323" s="37"/>
      <c r="F323" s="37"/>
    </row>
    <row r="324" ht="15.75" customHeight="1">
      <c r="E324" s="37"/>
      <c r="F324" s="37"/>
    </row>
    <row r="325" ht="15.75" customHeight="1">
      <c r="E325" s="37"/>
      <c r="F325" s="37"/>
    </row>
    <row r="326" ht="15.75" customHeight="1">
      <c r="E326" s="37"/>
      <c r="F326" s="37"/>
    </row>
    <row r="327" ht="15.75" customHeight="1">
      <c r="E327" s="37"/>
      <c r="F327" s="37"/>
    </row>
    <row r="328" ht="15.75" customHeight="1">
      <c r="E328" s="37"/>
      <c r="F328" s="37"/>
    </row>
    <row r="329" ht="15.75" customHeight="1">
      <c r="E329" s="37"/>
      <c r="F329" s="37"/>
    </row>
    <row r="330" ht="15.75" customHeight="1">
      <c r="E330" s="37"/>
      <c r="F330" s="37"/>
    </row>
    <row r="331" ht="15.75" customHeight="1">
      <c r="E331" s="37"/>
      <c r="F331" s="37"/>
    </row>
    <row r="332" ht="15.75" customHeight="1">
      <c r="E332" s="37"/>
      <c r="F332" s="37"/>
    </row>
    <row r="333" ht="15.75" customHeight="1">
      <c r="E333" s="37"/>
      <c r="F333" s="37"/>
    </row>
    <row r="334" ht="15.75" customHeight="1">
      <c r="E334" s="37"/>
      <c r="F334" s="37"/>
    </row>
    <row r="335" ht="15.75" customHeight="1">
      <c r="E335" s="37"/>
      <c r="F335" s="37"/>
    </row>
    <row r="336" ht="15.75" customHeight="1">
      <c r="E336" s="37"/>
      <c r="F336" s="37"/>
    </row>
    <row r="337" ht="15.75" customHeight="1">
      <c r="E337" s="37"/>
      <c r="F337" s="37"/>
    </row>
    <row r="338" ht="15.75" customHeight="1">
      <c r="E338" s="37"/>
      <c r="F338" s="37"/>
    </row>
    <row r="339" ht="15.75" customHeight="1">
      <c r="E339" s="37"/>
      <c r="F339" s="37"/>
    </row>
    <row r="340" ht="15.75" customHeight="1">
      <c r="E340" s="37"/>
      <c r="F340" s="37"/>
    </row>
    <row r="341" ht="15.75" customHeight="1">
      <c r="E341" s="37"/>
      <c r="F341" s="37"/>
    </row>
    <row r="342" ht="15.75" customHeight="1">
      <c r="E342" s="37"/>
      <c r="F342" s="37"/>
    </row>
    <row r="343" ht="15.75" customHeight="1">
      <c r="E343" s="37"/>
      <c r="F343" s="37"/>
    </row>
    <row r="344" ht="15.75" customHeight="1">
      <c r="E344" s="37"/>
      <c r="F344" s="37"/>
    </row>
    <row r="345" ht="15.75" customHeight="1">
      <c r="E345" s="37"/>
      <c r="F345" s="37"/>
    </row>
    <row r="346" ht="15.75" customHeight="1">
      <c r="E346" s="37"/>
      <c r="F346" s="37"/>
    </row>
    <row r="347" ht="15.75" customHeight="1">
      <c r="E347" s="37"/>
      <c r="F347" s="37"/>
    </row>
    <row r="348" ht="15.75" customHeight="1">
      <c r="E348" s="37"/>
      <c r="F348" s="37"/>
    </row>
    <row r="349" ht="15.75" customHeight="1">
      <c r="E349" s="37"/>
      <c r="F349" s="37"/>
    </row>
    <row r="350" ht="15.75" customHeight="1">
      <c r="E350" s="37"/>
      <c r="F350" s="37"/>
    </row>
    <row r="351" ht="15.75" customHeight="1">
      <c r="E351" s="37"/>
      <c r="F351" s="37"/>
    </row>
    <row r="352" ht="15.75" customHeight="1">
      <c r="E352" s="37"/>
      <c r="F352" s="37"/>
    </row>
    <row r="353" ht="15.75" customHeight="1">
      <c r="E353" s="37"/>
      <c r="F353" s="37"/>
    </row>
    <row r="354" ht="15.75" customHeight="1">
      <c r="E354" s="37"/>
      <c r="F354" s="37"/>
    </row>
    <row r="355" ht="15.75" customHeight="1">
      <c r="E355" s="37"/>
      <c r="F355" s="37"/>
    </row>
    <row r="356" ht="15.75" customHeight="1">
      <c r="E356" s="37"/>
      <c r="F356" s="37"/>
    </row>
    <row r="357" ht="15.75" customHeight="1">
      <c r="E357" s="37"/>
      <c r="F357" s="37"/>
    </row>
    <row r="358" ht="15.75" customHeight="1">
      <c r="E358" s="37"/>
      <c r="F358" s="37"/>
    </row>
    <row r="359" ht="15.75" customHeight="1">
      <c r="E359" s="37"/>
      <c r="F359" s="37"/>
    </row>
    <row r="360" ht="15.75" customHeight="1">
      <c r="E360" s="37"/>
      <c r="F360" s="37"/>
    </row>
    <row r="361" ht="15.75" customHeight="1">
      <c r="E361" s="37"/>
      <c r="F361" s="37"/>
    </row>
    <row r="362" ht="15.75" customHeight="1">
      <c r="E362" s="37"/>
      <c r="F362" s="37"/>
    </row>
    <row r="363" ht="15.75" customHeight="1">
      <c r="E363" s="37"/>
      <c r="F363" s="37"/>
    </row>
    <row r="364" ht="15.75" customHeight="1">
      <c r="E364" s="37"/>
      <c r="F364" s="37"/>
    </row>
    <row r="365" ht="15.75" customHeight="1">
      <c r="E365" s="37"/>
      <c r="F365" s="37"/>
    </row>
    <row r="366" ht="15.75" customHeight="1">
      <c r="E366" s="37"/>
      <c r="F366" s="37"/>
    </row>
    <row r="367" ht="15.75" customHeight="1">
      <c r="E367" s="37"/>
      <c r="F367" s="37"/>
    </row>
    <row r="368" ht="15.75" customHeight="1">
      <c r="E368" s="37"/>
      <c r="F368" s="37"/>
    </row>
    <row r="369" ht="15.75" customHeight="1">
      <c r="E369" s="37"/>
      <c r="F369" s="37"/>
    </row>
    <row r="370" ht="15.75" customHeight="1">
      <c r="E370" s="37"/>
      <c r="F370" s="37"/>
    </row>
    <row r="371" ht="15.75" customHeight="1">
      <c r="E371" s="37"/>
      <c r="F371" s="37"/>
    </row>
    <row r="372" ht="15.75" customHeight="1">
      <c r="E372" s="37"/>
      <c r="F372" s="37"/>
    </row>
    <row r="373" ht="15.75" customHeight="1">
      <c r="E373" s="37"/>
      <c r="F373" s="37"/>
    </row>
    <row r="374" ht="15.75" customHeight="1">
      <c r="E374" s="37"/>
      <c r="F374" s="37"/>
    </row>
    <row r="375" ht="15.75" customHeight="1">
      <c r="E375" s="37"/>
      <c r="F375" s="37"/>
    </row>
    <row r="376" ht="15.75" customHeight="1">
      <c r="E376" s="37"/>
      <c r="F376" s="37"/>
    </row>
    <row r="377" ht="15.75" customHeight="1">
      <c r="E377" s="37"/>
      <c r="F377" s="37"/>
    </row>
    <row r="378" ht="15.75" customHeight="1">
      <c r="E378" s="37"/>
      <c r="F378" s="37"/>
    </row>
    <row r="379" ht="15.75" customHeight="1">
      <c r="E379" s="37"/>
      <c r="F379" s="37"/>
    </row>
    <row r="380" ht="15.75" customHeight="1">
      <c r="E380" s="37"/>
      <c r="F380" s="37"/>
    </row>
    <row r="381" ht="15.75" customHeight="1">
      <c r="E381" s="37"/>
      <c r="F381" s="37"/>
    </row>
    <row r="382" ht="15.75" customHeight="1">
      <c r="E382" s="37"/>
      <c r="F382" s="37"/>
    </row>
    <row r="383" ht="15.75" customHeight="1">
      <c r="E383" s="37"/>
      <c r="F383" s="37"/>
    </row>
    <row r="384" ht="15.75" customHeight="1">
      <c r="E384" s="37"/>
      <c r="F384" s="37"/>
    </row>
    <row r="385" ht="15.75" customHeight="1">
      <c r="E385" s="37"/>
      <c r="F385" s="37"/>
    </row>
    <row r="386" ht="15.75" customHeight="1">
      <c r="E386" s="37"/>
      <c r="F386" s="37"/>
    </row>
    <row r="387" ht="15.75" customHeight="1">
      <c r="E387" s="37"/>
      <c r="F387" s="37"/>
    </row>
    <row r="388" ht="15.75" customHeight="1">
      <c r="E388" s="37"/>
      <c r="F388" s="37"/>
    </row>
    <row r="389" ht="15.75" customHeight="1">
      <c r="E389" s="37"/>
      <c r="F389" s="37"/>
    </row>
    <row r="390" ht="15.75" customHeight="1">
      <c r="E390" s="37"/>
      <c r="F390" s="37"/>
    </row>
    <row r="391" ht="15.75" customHeight="1">
      <c r="E391" s="37"/>
      <c r="F391" s="37"/>
    </row>
    <row r="392" ht="15.75" customHeight="1">
      <c r="E392" s="37"/>
      <c r="F392" s="37"/>
    </row>
    <row r="393" ht="15.75" customHeight="1">
      <c r="E393" s="37"/>
      <c r="F393" s="37"/>
    </row>
    <row r="394" ht="15.75" customHeight="1">
      <c r="E394" s="37"/>
      <c r="F394" s="37"/>
    </row>
    <row r="395" ht="15.75" customHeight="1">
      <c r="E395" s="37"/>
      <c r="F395" s="37"/>
    </row>
    <row r="396" ht="15.75" customHeight="1">
      <c r="E396" s="37"/>
      <c r="F396" s="37"/>
    </row>
    <row r="397" ht="15.75" customHeight="1">
      <c r="E397" s="37"/>
      <c r="F397" s="37"/>
    </row>
    <row r="398" ht="15.75" customHeight="1">
      <c r="E398" s="37"/>
      <c r="F398" s="37"/>
    </row>
    <row r="399" ht="15.75" customHeight="1">
      <c r="E399" s="37"/>
      <c r="F399" s="37"/>
    </row>
    <row r="400" ht="15.75" customHeight="1">
      <c r="E400" s="37"/>
      <c r="F400" s="37"/>
    </row>
    <row r="401" ht="15.75" customHeight="1">
      <c r="E401" s="37"/>
      <c r="F401" s="37"/>
    </row>
    <row r="402" ht="15.75" customHeight="1">
      <c r="E402" s="37"/>
      <c r="F402" s="37"/>
    </row>
    <row r="403" ht="15.75" customHeight="1">
      <c r="E403" s="37"/>
      <c r="F403" s="37"/>
    </row>
    <row r="404" ht="15.75" customHeight="1">
      <c r="E404" s="37"/>
      <c r="F404" s="37"/>
    </row>
    <row r="405" ht="15.75" customHeight="1">
      <c r="E405" s="37"/>
      <c r="F405" s="37"/>
    </row>
    <row r="406" ht="15.75" customHeight="1">
      <c r="E406" s="37"/>
      <c r="F406" s="37"/>
    </row>
    <row r="407" ht="15.75" customHeight="1">
      <c r="E407" s="37"/>
      <c r="F407" s="37"/>
    </row>
    <row r="408" ht="15.75" customHeight="1">
      <c r="E408" s="37"/>
      <c r="F408" s="37"/>
    </row>
    <row r="409" ht="15.75" customHeight="1">
      <c r="E409" s="37"/>
      <c r="F409" s="37"/>
    </row>
    <row r="410" ht="15.75" customHeight="1">
      <c r="E410" s="37"/>
      <c r="F410" s="37"/>
    </row>
    <row r="411" ht="15.75" customHeight="1">
      <c r="E411" s="37"/>
      <c r="F411" s="37"/>
    </row>
    <row r="412" ht="15.75" customHeight="1">
      <c r="E412" s="37"/>
      <c r="F412" s="37"/>
    </row>
    <row r="413" ht="15.75" customHeight="1">
      <c r="E413" s="37"/>
      <c r="F413" s="37"/>
    </row>
    <row r="414" ht="15.75" customHeight="1">
      <c r="E414" s="37"/>
      <c r="F414" s="37"/>
    </row>
    <row r="415" ht="15.75" customHeight="1">
      <c r="E415" s="37"/>
      <c r="F415" s="37"/>
    </row>
    <row r="416" ht="15.75" customHeight="1">
      <c r="E416" s="37"/>
      <c r="F416" s="37"/>
    </row>
    <row r="417" ht="15.75" customHeight="1">
      <c r="E417" s="37"/>
      <c r="F417" s="37"/>
    </row>
    <row r="418" ht="15.75" customHeight="1">
      <c r="E418" s="37"/>
      <c r="F418" s="37"/>
    </row>
    <row r="419" ht="15.75" customHeight="1">
      <c r="E419" s="37"/>
      <c r="F419" s="37"/>
    </row>
    <row r="420" ht="15.75" customHeight="1">
      <c r="E420" s="37"/>
      <c r="F420" s="37"/>
    </row>
    <row r="421" ht="15.75" customHeight="1">
      <c r="E421" s="37"/>
      <c r="F421" s="37"/>
    </row>
    <row r="422" ht="15.75" customHeight="1">
      <c r="E422" s="37"/>
      <c r="F422" s="37"/>
    </row>
    <row r="423" ht="15.75" customHeight="1">
      <c r="E423" s="37"/>
      <c r="F423" s="37"/>
    </row>
    <row r="424" ht="15.75" customHeight="1">
      <c r="E424" s="37"/>
      <c r="F424" s="37"/>
    </row>
    <row r="425" ht="15.75" customHeight="1">
      <c r="E425" s="37"/>
      <c r="F425" s="37"/>
    </row>
    <row r="426" ht="15.75" customHeight="1">
      <c r="E426" s="37"/>
      <c r="F426" s="37"/>
    </row>
    <row r="427" ht="15.75" customHeight="1">
      <c r="E427" s="37"/>
      <c r="F427" s="37"/>
    </row>
    <row r="428" ht="15.75" customHeight="1">
      <c r="E428" s="37"/>
      <c r="F428" s="37"/>
    </row>
    <row r="429" ht="15.75" customHeight="1">
      <c r="E429" s="37"/>
      <c r="F429" s="37"/>
    </row>
    <row r="430" ht="15.75" customHeight="1">
      <c r="E430" s="37"/>
      <c r="F430" s="37"/>
    </row>
    <row r="431" ht="15.75" customHeight="1">
      <c r="E431" s="37"/>
      <c r="F431" s="37"/>
    </row>
    <row r="432" ht="15.75" customHeight="1">
      <c r="E432" s="37"/>
      <c r="F432" s="37"/>
    </row>
    <row r="433" ht="15.75" customHeight="1">
      <c r="E433" s="37"/>
      <c r="F433" s="37"/>
    </row>
    <row r="434" ht="15.75" customHeight="1">
      <c r="E434" s="37"/>
      <c r="F434" s="37"/>
    </row>
    <row r="435" ht="15.75" customHeight="1">
      <c r="E435" s="37"/>
      <c r="F435" s="37"/>
    </row>
    <row r="436" ht="15.75" customHeight="1">
      <c r="E436" s="37"/>
      <c r="F436" s="37"/>
    </row>
    <row r="437" ht="15.75" customHeight="1">
      <c r="E437" s="37"/>
      <c r="F437" s="37"/>
    </row>
    <row r="438" ht="15.75" customHeight="1">
      <c r="E438" s="37"/>
      <c r="F438" s="37"/>
    </row>
    <row r="439" ht="15.75" customHeight="1">
      <c r="E439" s="37"/>
      <c r="F439" s="37"/>
    </row>
    <row r="440" ht="15.75" customHeight="1">
      <c r="E440" s="37"/>
      <c r="F440" s="37"/>
    </row>
    <row r="441" ht="15.75" customHeight="1">
      <c r="E441" s="37"/>
      <c r="F441" s="37"/>
    </row>
    <row r="442" ht="15.75" customHeight="1">
      <c r="E442" s="37"/>
      <c r="F442" s="37"/>
    </row>
    <row r="443" ht="15.75" customHeight="1">
      <c r="E443" s="37"/>
      <c r="F443" s="37"/>
    </row>
    <row r="444" ht="15.75" customHeight="1">
      <c r="E444" s="37"/>
      <c r="F444" s="37"/>
    </row>
    <row r="445" ht="15.75" customHeight="1">
      <c r="E445" s="37"/>
      <c r="F445" s="37"/>
    </row>
    <row r="446" ht="15.75" customHeight="1">
      <c r="E446" s="37"/>
      <c r="F446" s="37"/>
    </row>
    <row r="447" ht="15.75" customHeight="1">
      <c r="E447" s="37"/>
      <c r="F447" s="37"/>
    </row>
    <row r="448" ht="15.75" customHeight="1">
      <c r="E448" s="37"/>
      <c r="F448" s="37"/>
    </row>
    <row r="449" ht="15.75" customHeight="1">
      <c r="E449" s="37"/>
      <c r="F449" s="37"/>
    </row>
    <row r="450" ht="15.75" customHeight="1">
      <c r="E450" s="37"/>
      <c r="F450" s="37"/>
    </row>
    <row r="451" ht="15.75" customHeight="1">
      <c r="E451" s="37"/>
      <c r="F451" s="37"/>
    </row>
    <row r="452" ht="15.75" customHeight="1">
      <c r="E452" s="37"/>
      <c r="F452" s="37"/>
    </row>
    <row r="453" ht="15.75" customHeight="1">
      <c r="E453" s="37"/>
      <c r="F453" s="37"/>
    </row>
    <row r="454" ht="15.75" customHeight="1">
      <c r="E454" s="37"/>
      <c r="F454" s="37"/>
    </row>
    <row r="455" ht="15.75" customHeight="1">
      <c r="E455" s="37"/>
      <c r="F455" s="37"/>
    </row>
    <row r="456" ht="15.75" customHeight="1">
      <c r="E456" s="37"/>
      <c r="F456" s="37"/>
    </row>
    <row r="457" ht="15.75" customHeight="1">
      <c r="E457" s="37"/>
      <c r="F457" s="37"/>
    </row>
    <row r="458" ht="15.75" customHeight="1">
      <c r="E458" s="37"/>
      <c r="F458" s="37"/>
    </row>
    <row r="459" ht="15.75" customHeight="1">
      <c r="E459" s="37"/>
      <c r="F459" s="37"/>
    </row>
    <row r="460" ht="15.75" customHeight="1">
      <c r="E460" s="37"/>
      <c r="F460" s="37"/>
    </row>
    <row r="461" ht="15.75" customHeight="1">
      <c r="E461" s="37"/>
      <c r="F461" s="37"/>
    </row>
    <row r="462" ht="15.75" customHeight="1">
      <c r="E462" s="37"/>
      <c r="F462" s="37"/>
    </row>
    <row r="463" ht="15.75" customHeight="1">
      <c r="E463" s="37"/>
      <c r="F463" s="37"/>
    </row>
    <row r="464" ht="15.75" customHeight="1">
      <c r="E464" s="37"/>
      <c r="F464" s="37"/>
    </row>
    <row r="465" ht="15.75" customHeight="1">
      <c r="E465" s="37"/>
      <c r="F465" s="37"/>
    </row>
    <row r="466" ht="15.75" customHeight="1">
      <c r="E466" s="37"/>
      <c r="F466" s="37"/>
    </row>
    <row r="467" ht="15.75" customHeight="1">
      <c r="E467" s="37"/>
      <c r="F467" s="37"/>
    </row>
    <row r="468" ht="15.75" customHeight="1">
      <c r="E468" s="37"/>
      <c r="F468" s="37"/>
    </row>
    <row r="469" ht="15.75" customHeight="1">
      <c r="E469" s="37"/>
      <c r="F469" s="37"/>
    </row>
    <row r="470" ht="15.75" customHeight="1">
      <c r="E470" s="37"/>
      <c r="F470" s="37"/>
    </row>
    <row r="471" ht="15.75" customHeight="1">
      <c r="E471" s="37"/>
      <c r="F471" s="37"/>
    </row>
    <row r="472" ht="15.75" customHeight="1">
      <c r="E472" s="37"/>
      <c r="F472" s="37"/>
    </row>
    <row r="473" ht="15.75" customHeight="1">
      <c r="E473" s="37"/>
      <c r="F473" s="37"/>
    </row>
    <row r="474" ht="15.75" customHeight="1">
      <c r="E474" s="37"/>
      <c r="F474" s="37"/>
    </row>
    <row r="475" ht="15.75" customHeight="1">
      <c r="E475" s="37"/>
      <c r="F475" s="37"/>
    </row>
    <row r="476" ht="15.75" customHeight="1">
      <c r="E476" s="37"/>
      <c r="F476" s="37"/>
    </row>
    <row r="477" ht="15.75" customHeight="1">
      <c r="E477" s="37"/>
      <c r="F477" s="37"/>
    </row>
    <row r="478" ht="15.75" customHeight="1">
      <c r="E478" s="37"/>
      <c r="F478" s="37"/>
    </row>
    <row r="479" ht="15.75" customHeight="1">
      <c r="E479" s="37"/>
      <c r="F479" s="37"/>
    </row>
    <row r="480" ht="15.75" customHeight="1">
      <c r="E480" s="37"/>
      <c r="F480" s="37"/>
    </row>
    <row r="481" ht="15.75" customHeight="1">
      <c r="E481" s="37"/>
      <c r="F481" s="37"/>
    </row>
    <row r="482" ht="15.75" customHeight="1">
      <c r="E482" s="37"/>
      <c r="F482" s="37"/>
    </row>
    <row r="483" ht="15.75" customHeight="1">
      <c r="E483" s="37"/>
      <c r="F483" s="37"/>
    </row>
    <row r="484" ht="15.75" customHeight="1">
      <c r="E484" s="37"/>
      <c r="F484" s="37"/>
    </row>
    <row r="485" ht="15.75" customHeight="1">
      <c r="E485" s="37"/>
      <c r="F485" s="37"/>
    </row>
    <row r="486" ht="15.75" customHeight="1">
      <c r="E486" s="37"/>
      <c r="F486" s="37"/>
    </row>
    <row r="487" ht="15.75" customHeight="1">
      <c r="E487" s="37"/>
      <c r="F487" s="37"/>
    </row>
    <row r="488" ht="15.75" customHeight="1">
      <c r="E488" s="37"/>
      <c r="F488" s="37"/>
    </row>
    <row r="489" ht="15.75" customHeight="1">
      <c r="E489" s="37"/>
      <c r="F489" s="37"/>
    </row>
    <row r="490" ht="15.75" customHeight="1">
      <c r="E490" s="37"/>
      <c r="F490" s="37"/>
    </row>
    <row r="491" ht="15.75" customHeight="1">
      <c r="E491" s="37"/>
      <c r="F491" s="37"/>
    </row>
    <row r="492" ht="15.75" customHeight="1">
      <c r="E492" s="37"/>
      <c r="F492" s="37"/>
    </row>
    <row r="493" ht="15.75" customHeight="1">
      <c r="E493" s="37"/>
      <c r="F493" s="37"/>
    </row>
    <row r="494" ht="15.75" customHeight="1">
      <c r="E494" s="37"/>
      <c r="F494" s="37"/>
    </row>
    <row r="495" ht="15.75" customHeight="1">
      <c r="E495" s="37"/>
      <c r="F495" s="37"/>
    </row>
    <row r="496" ht="15.75" customHeight="1">
      <c r="E496" s="37"/>
      <c r="F496" s="37"/>
    </row>
    <row r="497" ht="15.75" customHeight="1">
      <c r="E497" s="37"/>
      <c r="F497" s="37"/>
    </row>
    <row r="498" ht="15.75" customHeight="1">
      <c r="E498" s="37"/>
      <c r="F498" s="37"/>
    </row>
    <row r="499" ht="15.75" customHeight="1">
      <c r="E499" s="37"/>
      <c r="F499" s="37"/>
    </row>
    <row r="500" ht="15.75" customHeight="1">
      <c r="E500" s="37"/>
      <c r="F500" s="37"/>
    </row>
    <row r="501" ht="15.75" customHeight="1">
      <c r="E501" s="37"/>
      <c r="F501" s="37"/>
    </row>
    <row r="502" ht="15.75" customHeight="1">
      <c r="E502" s="37"/>
      <c r="F502" s="37"/>
    </row>
    <row r="503" ht="15.75" customHeight="1">
      <c r="E503" s="37"/>
      <c r="F503" s="37"/>
    </row>
    <row r="504" ht="15.75" customHeight="1">
      <c r="E504" s="37"/>
      <c r="F504" s="37"/>
    </row>
    <row r="505" ht="15.75" customHeight="1">
      <c r="E505" s="37"/>
      <c r="F505" s="37"/>
    </row>
    <row r="506" ht="15.75" customHeight="1">
      <c r="E506" s="37"/>
      <c r="F506" s="37"/>
    </row>
    <row r="507" ht="15.75" customHeight="1">
      <c r="E507" s="37"/>
      <c r="F507" s="37"/>
    </row>
    <row r="508" ht="15.75" customHeight="1">
      <c r="E508" s="37"/>
      <c r="F508" s="37"/>
    </row>
    <row r="509" ht="15.75" customHeight="1">
      <c r="E509" s="37"/>
      <c r="F509" s="37"/>
    </row>
    <row r="510" ht="15.75" customHeight="1">
      <c r="E510" s="37"/>
      <c r="F510" s="37"/>
    </row>
    <row r="511" ht="15.75" customHeight="1">
      <c r="E511" s="37"/>
      <c r="F511" s="37"/>
    </row>
    <row r="512" ht="15.75" customHeight="1">
      <c r="E512" s="37"/>
      <c r="F512" s="37"/>
    </row>
    <row r="513" ht="15.75" customHeight="1">
      <c r="E513" s="37"/>
      <c r="F513" s="37"/>
    </row>
    <row r="514" ht="15.75" customHeight="1">
      <c r="E514" s="37"/>
      <c r="F514" s="37"/>
    </row>
    <row r="515" ht="15.75" customHeight="1">
      <c r="E515" s="37"/>
      <c r="F515" s="37"/>
    </row>
    <row r="516" ht="15.75" customHeight="1">
      <c r="E516" s="37"/>
      <c r="F516" s="37"/>
    </row>
    <row r="517" ht="15.75" customHeight="1">
      <c r="E517" s="37"/>
      <c r="F517" s="37"/>
    </row>
    <row r="518" ht="15.75" customHeight="1">
      <c r="E518" s="37"/>
      <c r="F518" s="37"/>
    </row>
    <row r="519" ht="15.75" customHeight="1">
      <c r="E519" s="37"/>
      <c r="F519" s="37"/>
    </row>
    <row r="520" ht="15.75" customHeight="1">
      <c r="E520" s="37"/>
      <c r="F520" s="37"/>
    </row>
    <row r="521" ht="15.75" customHeight="1">
      <c r="E521" s="37"/>
      <c r="F521" s="37"/>
    </row>
    <row r="522" ht="15.75" customHeight="1">
      <c r="E522" s="37"/>
      <c r="F522" s="37"/>
    </row>
    <row r="523" ht="15.75" customHeight="1">
      <c r="E523" s="37"/>
      <c r="F523" s="37"/>
    </row>
    <row r="524" ht="15.75" customHeight="1">
      <c r="E524" s="37"/>
      <c r="F524" s="37"/>
    </row>
    <row r="525" ht="15.75" customHeight="1">
      <c r="E525" s="37"/>
      <c r="F525" s="37"/>
    </row>
    <row r="526" ht="15.75" customHeight="1">
      <c r="E526" s="37"/>
      <c r="F526" s="37"/>
    </row>
    <row r="527" ht="15.75" customHeight="1">
      <c r="E527" s="37"/>
      <c r="F527" s="37"/>
    </row>
    <row r="528" ht="15.75" customHeight="1">
      <c r="E528" s="37"/>
      <c r="F528" s="37"/>
    </row>
    <row r="529" ht="15.75" customHeight="1">
      <c r="E529" s="37"/>
      <c r="F529" s="37"/>
    </row>
    <row r="530" ht="15.75" customHeight="1">
      <c r="E530" s="37"/>
      <c r="F530" s="37"/>
    </row>
    <row r="531" ht="15.75" customHeight="1">
      <c r="E531" s="37"/>
      <c r="F531" s="37"/>
    </row>
    <row r="532" ht="15.75" customHeight="1">
      <c r="E532" s="37"/>
      <c r="F532" s="37"/>
    </row>
    <row r="533" ht="15.75" customHeight="1">
      <c r="E533" s="37"/>
      <c r="F533" s="37"/>
    </row>
    <row r="534" ht="15.75" customHeight="1">
      <c r="E534" s="37"/>
      <c r="F534" s="37"/>
    </row>
    <row r="535" ht="15.75" customHeight="1">
      <c r="E535" s="37"/>
      <c r="F535" s="37"/>
    </row>
    <row r="536" ht="15.75" customHeight="1">
      <c r="E536" s="37"/>
      <c r="F536" s="37"/>
    </row>
    <row r="537" ht="15.75" customHeight="1">
      <c r="E537" s="37"/>
      <c r="F537" s="37"/>
    </row>
    <row r="538" ht="15.75" customHeight="1">
      <c r="E538" s="37"/>
      <c r="F538" s="37"/>
    </row>
    <row r="539" ht="15.75" customHeight="1">
      <c r="E539" s="37"/>
      <c r="F539" s="37"/>
    </row>
    <row r="540" ht="15.75" customHeight="1">
      <c r="E540" s="37"/>
      <c r="F540" s="37"/>
    </row>
    <row r="541" ht="15.75" customHeight="1">
      <c r="E541" s="37"/>
      <c r="F541" s="37"/>
    </row>
    <row r="542" ht="15.75" customHeight="1">
      <c r="E542" s="37"/>
      <c r="F542" s="37"/>
    </row>
    <row r="543" ht="15.75" customHeight="1">
      <c r="E543" s="37"/>
      <c r="F543" s="37"/>
    </row>
    <row r="544" ht="15.75" customHeight="1">
      <c r="E544" s="37"/>
      <c r="F544" s="37"/>
    </row>
    <row r="545" ht="15.75" customHeight="1">
      <c r="E545" s="37"/>
      <c r="F545" s="37"/>
    </row>
    <row r="546" ht="15.75" customHeight="1">
      <c r="E546" s="37"/>
      <c r="F546" s="37"/>
    </row>
    <row r="547" ht="15.75" customHeight="1">
      <c r="E547" s="37"/>
      <c r="F547" s="37"/>
    </row>
    <row r="548" ht="15.75" customHeight="1">
      <c r="E548" s="37"/>
      <c r="F548" s="37"/>
    </row>
    <row r="549" ht="15.75" customHeight="1">
      <c r="E549" s="37"/>
      <c r="F549" s="37"/>
    </row>
    <row r="550" ht="15.75" customHeight="1">
      <c r="E550" s="37"/>
      <c r="F550" s="37"/>
    </row>
    <row r="551" ht="15.75" customHeight="1">
      <c r="E551" s="37"/>
      <c r="F551" s="37"/>
    </row>
    <row r="552" ht="15.75" customHeight="1">
      <c r="E552" s="37"/>
      <c r="F552" s="37"/>
    </row>
    <row r="553" ht="15.75" customHeight="1">
      <c r="E553" s="37"/>
      <c r="F553" s="37"/>
    </row>
    <row r="554" ht="15.75" customHeight="1">
      <c r="E554" s="37"/>
      <c r="F554" s="37"/>
    </row>
    <row r="555" ht="15.75" customHeight="1">
      <c r="E555" s="37"/>
      <c r="F555" s="37"/>
    </row>
    <row r="556" ht="15.75" customHeight="1">
      <c r="E556" s="37"/>
      <c r="F556" s="37"/>
    </row>
    <row r="557" ht="15.75" customHeight="1">
      <c r="E557" s="37"/>
      <c r="F557" s="37"/>
    </row>
    <row r="558" ht="15.75" customHeight="1">
      <c r="E558" s="37"/>
      <c r="F558" s="37"/>
    </row>
    <row r="559" ht="15.75" customHeight="1">
      <c r="E559" s="37"/>
      <c r="F559" s="37"/>
    </row>
    <row r="560" ht="15.75" customHeight="1">
      <c r="E560" s="37"/>
      <c r="F560" s="37"/>
    </row>
    <row r="561" ht="15.75" customHeight="1">
      <c r="E561" s="37"/>
      <c r="F561" s="37"/>
    </row>
    <row r="562" ht="15.75" customHeight="1">
      <c r="E562" s="37"/>
      <c r="F562" s="37"/>
    </row>
    <row r="563" ht="15.75" customHeight="1">
      <c r="E563" s="37"/>
      <c r="F563" s="37"/>
    </row>
    <row r="564" ht="15.75" customHeight="1">
      <c r="E564" s="37"/>
      <c r="F564" s="37"/>
    </row>
    <row r="565" ht="15.75" customHeight="1">
      <c r="E565" s="37"/>
      <c r="F565" s="37"/>
    </row>
    <row r="566" ht="15.75" customHeight="1">
      <c r="E566" s="37"/>
      <c r="F566" s="37"/>
    </row>
    <row r="567" ht="15.75" customHeight="1">
      <c r="E567" s="37"/>
      <c r="F567" s="37"/>
    </row>
    <row r="568" ht="15.75" customHeight="1">
      <c r="E568" s="37"/>
      <c r="F568" s="37"/>
    </row>
    <row r="569" ht="15.75" customHeight="1">
      <c r="E569" s="37"/>
      <c r="F569" s="37"/>
    </row>
    <row r="570" ht="15.75" customHeight="1">
      <c r="E570" s="37"/>
      <c r="F570" s="37"/>
    </row>
    <row r="571" ht="15.75" customHeight="1">
      <c r="E571" s="37"/>
      <c r="F571" s="37"/>
    </row>
    <row r="572" ht="15.75" customHeight="1">
      <c r="E572" s="37"/>
      <c r="F572" s="37"/>
    </row>
    <row r="573" ht="15.75" customHeight="1">
      <c r="E573" s="37"/>
      <c r="F573" s="37"/>
    </row>
    <row r="574" ht="15.75" customHeight="1">
      <c r="E574" s="37"/>
      <c r="F574" s="37"/>
    </row>
    <row r="575" ht="15.75" customHeight="1">
      <c r="E575" s="37"/>
      <c r="F575" s="37"/>
    </row>
    <row r="576" ht="15.75" customHeight="1">
      <c r="E576" s="37"/>
      <c r="F576" s="37"/>
    </row>
    <row r="577" ht="15.75" customHeight="1">
      <c r="E577" s="37"/>
      <c r="F577" s="37"/>
    </row>
    <row r="578" ht="15.75" customHeight="1">
      <c r="E578" s="37"/>
      <c r="F578" s="37"/>
    </row>
    <row r="579" ht="15.75" customHeight="1">
      <c r="E579" s="37"/>
      <c r="F579" s="37"/>
    </row>
    <row r="580" ht="15.75" customHeight="1">
      <c r="E580" s="37"/>
      <c r="F580" s="37"/>
    </row>
    <row r="581" ht="15.75" customHeight="1">
      <c r="E581" s="37"/>
      <c r="F581" s="37"/>
    </row>
    <row r="582" ht="15.75" customHeight="1">
      <c r="E582" s="37"/>
      <c r="F582" s="37"/>
    </row>
    <row r="583" ht="15.75" customHeight="1">
      <c r="E583" s="37"/>
      <c r="F583" s="37"/>
    </row>
    <row r="584" ht="15.75" customHeight="1">
      <c r="E584" s="37"/>
      <c r="F584" s="37"/>
    </row>
    <row r="585" ht="15.75" customHeight="1">
      <c r="E585" s="37"/>
      <c r="F585" s="37"/>
    </row>
    <row r="586" ht="15.75" customHeight="1">
      <c r="E586" s="37"/>
      <c r="F586" s="37"/>
    </row>
    <row r="587" ht="15.75" customHeight="1">
      <c r="E587" s="37"/>
      <c r="F587" s="37"/>
    </row>
    <row r="588" ht="15.75" customHeight="1">
      <c r="E588" s="37"/>
      <c r="F588" s="37"/>
    </row>
    <row r="589" ht="15.75" customHeight="1">
      <c r="E589" s="37"/>
      <c r="F589" s="37"/>
    </row>
    <row r="590" ht="15.75" customHeight="1">
      <c r="E590" s="37"/>
      <c r="F590" s="37"/>
    </row>
    <row r="591" ht="15.75" customHeight="1">
      <c r="E591" s="37"/>
      <c r="F591" s="37"/>
    </row>
    <row r="592" ht="15.75" customHeight="1">
      <c r="E592" s="37"/>
      <c r="F592" s="37"/>
    </row>
    <row r="593" ht="15.75" customHeight="1">
      <c r="E593" s="37"/>
      <c r="F593" s="37"/>
    </row>
    <row r="594" ht="15.75" customHeight="1">
      <c r="E594" s="37"/>
      <c r="F594" s="37"/>
    </row>
    <row r="595" ht="15.75" customHeight="1">
      <c r="E595" s="37"/>
      <c r="F595" s="37"/>
    </row>
    <row r="596" ht="15.75" customHeight="1">
      <c r="E596" s="37"/>
      <c r="F596" s="37"/>
    </row>
    <row r="597" ht="15.75" customHeight="1">
      <c r="E597" s="37"/>
      <c r="F597" s="37"/>
    </row>
    <row r="598" ht="15.75" customHeight="1">
      <c r="E598" s="37"/>
      <c r="F598" s="37"/>
    </row>
    <row r="599" ht="15.75" customHeight="1">
      <c r="E599" s="37"/>
      <c r="F599" s="37"/>
    </row>
    <row r="600" ht="15.75" customHeight="1">
      <c r="E600" s="37"/>
      <c r="F600" s="37"/>
    </row>
    <row r="601" ht="15.75" customHeight="1">
      <c r="E601" s="37"/>
      <c r="F601" s="37"/>
    </row>
    <row r="602" ht="15.75" customHeight="1">
      <c r="E602" s="37"/>
      <c r="F602" s="37"/>
    </row>
    <row r="603" ht="15.75" customHeight="1">
      <c r="E603" s="37"/>
      <c r="F603" s="37"/>
    </row>
    <row r="604" ht="15.75" customHeight="1">
      <c r="E604" s="37"/>
      <c r="F604" s="37"/>
    </row>
    <row r="605" ht="15.75" customHeight="1">
      <c r="E605" s="37"/>
      <c r="F605" s="37"/>
    </row>
    <row r="606" ht="15.75" customHeight="1">
      <c r="E606" s="37"/>
      <c r="F606" s="37"/>
    </row>
    <row r="607" ht="15.75" customHeight="1">
      <c r="E607" s="37"/>
      <c r="F607" s="37"/>
    </row>
    <row r="608" ht="15.75" customHeight="1">
      <c r="E608" s="37"/>
      <c r="F608" s="37"/>
    </row>
    <row r="609" ht="15.75" customHeight="1">
      <c r="E609" s="37"/>
      <c r="F609" s="37"/>
    </row>
    <row r="610" ht="15.75" customHeight="1">
      <c r="E610" s="37"/>
      <c r="F610" s="37"/>
    </row>
    <row r="611" ht="15.75" customHeight="1">
      <c r="E611" s="37"/>
      <c r="F611" s="37"/>
    </row>
    <row r="612" ht="15.75" customHeight="1">
      <c r="E612" s="37"/>
      <c r="F612" s="37"/>
    </row>
    <row r="613" ht="15.75" customHeight="1">
      <c r="E613" s="37"/>
      <c r="F613" s="37"/>
    </row>
    <row r="614" ht="15.75" customHeight="1">
      <c r="E614" s="37"/>
      <c r="F614" s="37"/>
    </row>
    <row r="615" ht="15.75" customHeight="1">
      <c r="E615" s="37"/>
      <c r="F615" s="37"/>
    </row>
    <row r="616" ht="15.75" customHeight="1">
      <c r="E616" s="37"/>
      <c r="F616" s="37"/>
    </row>
    <row r="617" ht="15.75" customHeight="1">
      <c r="E617" s="37"/>
      <c r="F617" s="37"/>
    </row>
    <row r="618" ht="15.75" customHeight="1">
      <c r="E618" s="37"/>
      <c r="F618" s="37"/>
    </row>
    <row r="619" ht="15.75" customHeight="1">
      <c r="E619" s="37"/>
      <c r="F619" s="37"/>
    </row>
    <row r="620" ht="15.75" customHeight="1">
      <c r="E620" s="37"/>
      <c r="F620" s="37"/>
    </row>
    <row r="621" ht="15.75" customHeight="1">
      <c r="E621" s="37"/>
      <c r="F621" s="37"/>
    </row>
    <row r="622" ht="15.75" customHeight="1">
      <c r="E622" s="37"/>
      <c r="F622" s="37"/>
    </row>
    <row r="623" ht="15.75" customHeight="1">
      <c r="E623" s="37"/>
      <c r="F623" s="37"/>
    </row>
    <row r="624" ht="15.75" customHeight="1">
      <c r="E624" s="37"/>
      <c r="F624" s="37"/>
    </row>
    <row r="625" ht="15.75" customHeight="1">
      <c r="E625" s="37"/>
      <c r="F625" s="37"/>
    </row>
    <row r="626" ht="15.75" customHeight="1">
      <c r="E626" s="37"/>
      <c r="F626" s="37"/>
    </row>
    <row r="627" ht="15.75" customHeight="1">
      <c r="E627" s="37"/>
      <c r="F627" s="37"/>
    </row>
    <row r="628" ht="15.75" customHeight="1">
      <c r="E628" s="37"/>
      <c r="F628" s="37"/>
    </row>
    <row r="629" ht="15.75" customHeight="1">
      <c r="E629" s="37"/>
      <c r="F629" s="37"/>
    </row>
    <row r="630" ht="15.75" customHeight="1">
      <c r="E630" s="37"/>
      <c r="F630" s="37"/>
    </row>
    <row r="631" ht="15.75" customHeight="1">
      <c r="E631" s="37"/>
      <c r="F631" s="37"/>
    </row>
    <row r="632" ht="15.75" customHeight="1">
      <c r="E632" s="37"/>
      <c r="F632" s="37"/>
    </row>
    <row r="633" ht="15.75" customHeight="1">
      <c r="E633" s="37"/>
      <c r="F633" s="37"/>
    </row>
    <row r="634" ht="15.75" customHeight="1">
      <c r="E634" s="37"/>
      <c r="F634" s="37"/>
    </row>
    <row r="635" ht="15.75" customHeight="1">
      <c r="E635" s="37"/>
      <c r="F635" s="37"/>
    </row>
    <row r="636" ht="15.75" customHeight="1">
      <c r="E636" s="37"/>
      <c r="F636" s="37"/>
    </row>
    <row r="637" ht="15.75" customHeight="1">
      <c r="E637" s="37"/>
      <c r="F637" s="37"/>
    </row>
    <row r="638" ht="15.75" customHeight="1">
      <c r="E638" s="37"/>
      <c r="F638" s="37"/>
    </row>
    <row r="639" ht="15.75" customHeight="1">
      <c r="E639" s="37"/>
      <c r="F639" s="37"/>
    </row>
    <row r="640" ht="15.75" customHeight="1">
      <c r="E640" s="37"/>
      <c r="F640" s="37"/>
    </row>
    <row r="641" ht="15.75" customHeight="1">
      <c r="E641" s="37"/>
      <c r="F641" s="37"/>
    </row>
    <row r="642" ht="15.75" customHeight="1">
      <c r="E642" s="37"/>
      <c r="F642" s="37"/>
    </row>
    <row r="643" ht="15.75" customHeight="1">
      <c r="E643" s="37"/>
      <c r="F643" s="37"/>
    </row>
    <row r="644" ht="15.75" customHeight="1">
      <c r="E644" s="37"/>
      <c r="F644" s="37"/>
    </row>
    <row r="645" ht="15.75" customHeight="1">
      <c r="E645" s="37"/>
      <c r="F645" s="37"/>
    </row>
    <row r="646" ht="15.75" customHeight="1">
      <c r="E646" s="37"/>
      <c r="F646" s="37"/>
    </row>
    <row r="647" ht="15.75" customHeight="1">
      <c r="E647" s="37"/>
      <c r="F647" s="37"/>
    </row>
    <row r="648" ht="15.75" customHeight="1">
      <c r="E648" s="37"/>
      <c r="F648" s="37"/>
    </row>
    <row r="649" ht="15.75" customHeight="1">
      <c r="E649" s="37"/>
      <c r="F649" s="37"/>
    </row>
    <row r="650" ht="15.75" customHeight="1">
      <c r="E650" s="37"/>
      <c r="F650" s="37"/>
    </row>
    <row r="651" ht="15.75" customHeight="1">
      <c r="E651" s="37"/>
      <c r="F651" s="37"/>
    </row>
    <row r="652" ht="15.75" customHeight="1">
      <c r="E652" s="37"/>
      <c r="F652" s="37"/>
    </row>
    <row r="653" ht="15.75" customHeight="1">
      <c r="E653" s="37"/>
      <c r="F653" s="37"/>
    </row>
    <row r="654" ht="15.75" customHeight="1">
      <c r="E654" s="37"/>
      <c r="F654" s="37"/>
    </row>
    <row r="655" ht="15.75" customHeight="1">
      <c r="E655" s="37"/>
      <c r="F655" s="37"/>
    </row>
    <row r="656" ht="15.75" customHeight="1">
      <c r="E656" s="37"/>
      <c r="F656" s="37"/>
    </row>
    <row r="657" ht="15.75" customHeight="1">
      <c r="E657" s="37"/>
      <c r="F657" s="37"/>
    </row>
    <row r="658" ht="15.75" customHeight="1">
      <c r="E658" s="37"/>
      <c r="F658" s="37"/>
    </row>
    <row r="659" ht="15.75" customHeight="1">
      <c r="E659" s="37"/>
      <c r="F659" s="37"/>
    </row>
    <row r="660" ht="15.75" customHeight="1">
      <c r="E660" s="37"/>
      <c r="F660" s="37"/>
    </row>
    <row r="661" ht="15.75" customHeight="1">
      <c r="E661" s="37"/>
      <c r="F661" s="37"/>
    </row>
    <row r="662" ht="15.75" customHeight="1">
      <c r="E662" s="37"/>
      <c r="F662" s="37"/>
    </row>
    <row r="663" ht="15.75" customHeight="1">
      <c r="E663" s="37"/>
      <c r="F663" s="37"/>
    </row>
    <row r="664" ht="15.75" customHeight="1">
      <c r="E664" s="37"/>
      <c r="F664" s="37"/>
    </row>
    <row r="665" ht="15.75" customHeight="1">
      <c r="E665" s="37"/>
      <c r="F665" s="37"/>
    </row>
    <row r="666" ht="15.75" customHeight="1">
      <c r="E666" s="37"/>
      <c r="F666" s="37"/>
    </row>
    <row r="667" ht="15.75" customHeight="1">
      <c r="E667" s="37"/>
      <c r="F667" s="37"/>
    </row>
    <row r="668" ht="15.75" customHeight="1">
      <c r="E668" s="37"/>
      <c r="F668" s="37"/>
    </row>
    <row r="669" ht="15.75" customHeight="1">
      <c r="E669" s="37"/>
      <c r="F669" s="37"/>
    </row>
    <row r="670" ht="15.75" customHeight="1">
      <c r="E670" s="37"/>
      <c r="F670" s="37"/>
    </row>
    <row r="671" ht="15.75" customHeight="1">
      <c r="E671" s="37"/>
      <c r="F671" s="37"/>
    </row>
    <row r="672" ht="15.75" customHeight="1">
      <c r="E672" s="37"/>
      <c r="F672" s="37"/>
    </row>
    <row r="673" ht="15.75" customHeight="1">
      <c r="E673" s="37"/>
      <c r="F673" s="37"/>
    </row>
    <row r="674" ht="15.75" customHeight="1">
      <c r="E674" s="37"/>
      <c r="F674" s="37"/>
    </row>
    <row r="675" ht="15.75" customHeight="1">
      <c r="E675" s="37"/>
      <c r="F675" s="37"/>
    </row>
    <row r="676" ht="15.75" customHeight="1">
      <c r="E676" s="37"/>
      <c r="F676" s="37"/>
    </row>
    <row r="677" ht="15.75" customHeight="1">
      <c r="E677" s="37"/>
      <c r="F677" s="37"/>
    </row>
    <row r="678" ht="15.75" customHeight="1">
      <c r="E678" s="37"/>
      <c r="F678" s="37"/>
    </row>
    <row r="679" ht="15.75" customHeight="1">
      <c r="E679" s="37"/>
      <c r="F679" s="37"/>
    </row>
    <row r="680" ht="15.75" customHeight="1">
      <c r="E680" s="37"/>
      <c r="F680" s="37"/>
    </row>
    <row r="681" ht="15.75" customHeight="1">
      <c r="E681" s="37"/>
      <c r="F681" s="37"/>
    </row>
    <row r="682" ht="15.75" customHeight="1">
      <c r="E682" s="37"/>
      <c r="F682" s="37"/>
    </row>
    <row r="683" ht="15.75" customHeight="1">
      <c r="E683" s="37"/>
      <c r="F683" s="37"/>
    </row>
    <row r="684" ht="15.75" customHeight="1">
      <c r="E684" s="37"/>
      <c r="F684" s="37"/>
    </row>
    <row r="685" ht="15.75" customHeight="1">
      <c r="E685" s="37"/>
      <c r="F685" s="37"/>
    </row>
    <row r="686" ht="15.75" customHeight="1">
      <c r="E686" s="37"/>
      <c r="F686" s="37"/>
    </row>
    <row r="687" ht="15.75" customHeight="1">
      <c r="E687" s="37"/>
      <c r="F687" s="37"/>
    </row>
    <row r="688" ht="15.75" customHeight="1">
      <c r="E688" s="37"/>
      <c r="F688" s="37"/>
    </row>
    <row r="689" ht="15.75" customHeight="1">
      <c r="E689" s="37"/>
      <c r="F689" s="37"/>
    </row>
    <row r="690" ht="15.75" customHeight="1">
      <c r="E690" s="37"/>
      <c r="F690" s="37"/>
    </row>
    <row r="691" ht="15.75" customHeight="1">
      <c r="E691" s="37"/>
      <c r="F691" s="37"/>
    </row>
    <row r="692" ht="15.75" customHeight="1">
      <c r="E692" s="37"/>
      <c r="F692" s="37"/>
    </row>
    <row r="693" ht="15.75" customHeight="1">
      <c r="E693" s="37"/>
      <c r="F693" s="37"/>
    </row>
    <row r="694" ht="15.75" customHeight="1">
      <c r="E694" s="37"/>
      <c r="F694" s="37"/>
    </row>
    <row r="695" ht="15.75" customHeight="1">
      <c r="E695" s="37"/>
      <c r="F695" s="37"/>
    </row>
    <row r="696" ht="15.75" customHeight="1">
      <c r="E696" s="37"/>
      <c r="F696" s="37"/>
    </row>
    <row r="697" ht="15.75" customHeight="1">
      <c r="E697" s="37"/>
      <c r="F697" s="37"/>
    </row>
    <row r="698" ht="15.75" customHeight="1">
      <c r="E698" s="37"/>
      <c r="F698" s="37"/>
    </row>
    <row r="699" ht="15.75" customHeight="1">
      <c r="E699" s="37"/>
      <c r="F699" s="37"/>
    </row>
    <row r="700" ht="15.75" customHeight="1">
      <c r="E700" s="37"/>
      <c r="F700" s="37"/>
    </row>
    <row r="701" ht="15.75" customHeight="1">
      <c r="E701" s="37"/>
      <c r="F701" s="37"/>
    </row>
    <row r="702" ht="15.75" customHeight="1">
      <c r="E702" s="37"/>
      <c r="F702" s="37"/>
    </row>
    <row r="703" ht="15.75" customHeight="1">
      <c r="E703" s="37"/>
      <c r="F703" s="37"/>
    </row>
    <row r="704" ht="15.75" customHeight="1">
      <c r="E704" s="37"/>
      <c r="F704" s="37"/>
    </row>
    <row r="705" ht="15.75" customHeight="1">
      <c r="E705" s="37"/>
      <c r="F705" s="37"/>
    </row>
    <row r="706" ht="15.75" customHeight="1">
      <c r="E706" s="37"/>
      <c r="F706" s="37"/>
    </row>
    <row r="707" ht="15.75" customHeight="1">
      <c r="E707" s="37"/>
      <c r="F707" s="37"/>
    </row>
    <row r="708" ht="15.75" customHeight="1">
      <c r="E708" s="37"/>
      <c r="F708" s="37"/>
    </row>
    <row r="709" ht="15.75" customHeight="1">
      <c r="E709" s="37"/>
      <c r="F709" s="37"/>
    </row>
    <row r="710" ht="15.75" customHeight="1">
      <c r="E710" s="37"/>
      <c r="F710" s="37"/>
    </row>
    <row r="711" ht="15.75" customHeight="1">
      <c r="E711" s="37"/>
      <c r="F711" s="37"/>
    </row>
    <row r="712" ht="15.75" customHeight="1">
      <c r="E712" s="37"/>
      <c r="F712" s="37"/>
    </row>
    <row r="713" ht="15.75" customHeight="1">
      <c r="E713" s="37"/>
      <c r="F713" s="37"/>
    </row>
    <row r="714" ht="15.75" customHeight="1">
      <c r="E714" s="37"/>
      <c r="F714" s="37"/>
    </row>
    <row r="715" ht="15.75" customHeight="1">
      <c r="E715" s="37"/>
      <c r="F715" s="37"/>
    </row>
    <row r="716" ht="15.75" customHeight="1">
      <c r="E716" s="37"/>
      <c r="F716" s="37"/>
    </row>
    <row r="717" ht="15.75" customHeight="1">
      <c r="E717" s="37"/>
      <c r="F717" s="37"/>
    </row>
    <row r="718" ht="15.75" customHeight="1">
      <c r="E718" s="37"/>
      <c r="F718" s="37"/>
    </row>
    <row r="719" ht="15.75" customHeight="1">
      <c r="E719" s="37"/>
      <c r="F719" s="37"/>
    </row>
    <row r="720" ht="15.75" customHeight="1">
      <c r="E720" s="37"/>
      <c r="F720" s="37"/>
    </row>
    <row r="721" ht="15.75" customHeight="1">
      <c r="E721" s="37"/>
      <c r="F721" s="37"/>
    </row>
    <row r="722" ht="15.75" customHeight="1">
      <c r="E722" s="37"/>
      <c r="F722" s="37"/>
    </row>
    <row r="723" ht="15.75" customHeight="1">
      <c r="E723" s="37"/>
      <c r="F723" s="37"/>
    </row>
    <row r="724" ht="15.75" customHeight="1">
      <c r="E724" s="37"/>
      <c r="F724" s="37"/>
    </row>
    <row r="725" ht="15.75" customHeight="1">
      <c r="E725" s="37"/>
      <c r="F725" s="37"/>
    </row>
    <row r="726" ht="15.75" customHeight="1">
      <c r="E726" s="37"/>
      <c r="F726" s="37"/>
    </row>
    <row r="727" ht="15.75" customHeight="1">
      <c r="E727" s="37"/>
      <c r="F727" s="37"/>
    </row>
    <row r="728" ht="15.75" customHeight="1">
      <c r="E728" s="37"/>
      <c r="F728" s="37"/>
    </row>
    <row r="729" ht="15.75" customHeight="1">
      <c r="E729" s="37"/>
      <c r="F729" s="37"/>
    </row>
    <row r="730" ht="15.75" customHeight="1">
      <c r="E730" s="37"/>
      <c r="F730" s="37"/>
    </row>
    <row r="731" ht="15.75" customHeight="1">
      <c r="E731" s="37"/>
      <c r="F731" s="37"/>
    </row>
    <row r="732" ht="15.75" customHeight="1">
      <c r="E732" s="37"/>
      <c r="F732" s="37"/>
    </row>
    <row r="733" ht="15.75" customHeight="1">
      <c r="E733" s="37"/>
      <c r="F733" s="37"/>
    </row>
    <row r="734" ht="15.75" customHeight="1">
      <c r="E734" s="37"/>
      <c r="F734" s="37"/>
    </row>
    <row r="735" ht="15.75" customHeight="1">
      <c r="E735" s="37"/>
      <c r="F735" s="37"/>
    </row>
    <row r="736" ht="15.75" customHeight="1">
      <c r="E736" s="37"/>
      <c r="F736" s="37"/>
    </row>
    <row r="737" ht="15.75" customHeight="1">
      <c r="E737" s="37"/>
      <c r="F737" s="37"/>
    </row>
    <row r="738" ht="15.75" customHeight="1">
      <c r="E738" s="37"/>
      <c r="F738" s="37"/>
    </row>
    <row r="739" ht="15.75" customHeight="1">
      <c r="E739" s="37"/>
      <c r="F739" s="37"/>
    </row>
    <row r="740" ht="15.75" customHeight="1">
      <c r="E740" s="37"/>
      <c r="F740" s="37"/>
    </row>
    <row r="741" ht="15.75" customHeight="1">
      <c r="E741" s="37"/>
      <c r="F741" s="37"/>
    </row>
    <row r="742" ht="15.75" customHeight="1">
      <c r="E742" s="37"/>
      <c r="F742" s="37"/>
    </row>
    <row r="743" ht="15.75" customHeight="1">
      <c r="E743" s="37"/>
      <c r="F743" s="37"/>
    </row>
    <row r="744" ht="15.75" customHeight="1">
      <c r="E744" s="37"/>
      <c r="F744" s="37"/>
    </row>
    <row r="745" ht="15.75" customHeight="1">
      <c r="E745" s="37"/>
      <c r="F745" s="37"/>
    </row>
    <row r="746" ht="15.75" customHeight="1">
      <c r="E746" s="37"/>
      <c r="F746" s="37"/>
    </row>
    <row r="747" ht="15.75" customHeight="1">
      <c r="E747" s="37"/>
      <c r="F747" s="37"/>
    </row>
    <row r="748" ht="15.75" customHeight="1">
      <c r="E748" s="37"/>
      <c r="F748" s="37"/>
    </row>
    <row r="749" ht="15.75" customHeight="1">
      <c r="E749" s="37"/>
      <c r="F749" s="37"/>
    </row>
    <row r="750" ht="15.75" customHeight="1">
      <c r="E750" s="37"/>
      <c r="F750" s="37"/>
    </row>
    <row r="751" ht="15.75" customHeight="1">
      <c r="E751" s="37"/>
      <c r="F751" s="37"/>
    </row>
    <row r="752" ht="15.75" customHeight="1">
      <c r="E752" s="37"/>
      <c r="F752" s="37"/>
    </row>
    <row r="753" ht="15.75" customHeight="1">
      <c r="E753" s="37"/>
      <c r="F753" s="37"/>
    </row>
    <row r="754" ht="15.75" customHeight="1">
      <c r="E754" s="37"/>
      <c r="F754" s="37"/>
    </row>
    <row r="755" ht="15.75" customHeight="1">
      <c r="E755" s="37"/>
      <c r="F755" s="37"/>
    </row>
    <row r="756" ht="15.75" customHeight="1">
      <c r="E756" s="37"/>
      <c r="F756" s="37"/>
    </row>
    <row r="757" ht="15.75" customHeight="1">
      <c r="E757" s="37"/>
      <c r="F757" s="37"/>
    </row>
    <row r="758" ht="15.75" customHeight="1">
      <c r="E758" s="37"/>
      <c r="F758" s="37"/>
    </row>
    <row r="759" ht="15.75" customHeight="1">
      <c r="E759" s="37"/>
      <c r="F759" s="37"/>
    </row>
    <row r="760" ht="15.75" customHeight="1">
      <c r="E760" s="37"/>
      <c r="F760" s="37"/>
    </row>
    <row r="761" ht="15.75" customHeight="1">
      <c r="E761" s="37"/>
      <c r="F761" s="37"/>
    </row>
    <row r="762" ht="15.75" customHeight="1">
      <c r="E762" s="37"/>
      <c r="F762" s="37"/>
    </row>
    <row r="763" ht="15.75" customHeight="1">
      <c r="E763" s="37"/>
      <c r="F763" s="37"/>
    </row>
    <row r="764" ht="15.75" customHeight="1">
      <c r="E764" s="37"/>
      <c r="F764" s="37"/>
    </row>
    <row r="765" ht="15.75" customHeight="1">
      <c r="E765" s="37"/>
      <c r="F765" s="37"/>
    </row>
    <row r="766" ht="15.75" customHeight="1">
      <c r="E766" s="37"/>
      <c r="F766" s="37"/>
    </row>
    <row r="767" ht="15.75" customHeight="1">
      <c r="E767" s="37"/>
      <c r="F767" s="37"/>
    </row>
    <row r="768" ht="15.75" customHeight="1">
      <c r="E768" s="37"/>
      <c r="F768" s="37"/>
    </row>
    <row r="769" ht="15.75" customHeight="1">
      <c r="E769" s="37"/>
      <c r="F769" s="37"/>
    </row>
    <row r="770" ht="15.75" customHeight="1">
      <c r="E770" s="37"/>
      <c r="F770" s="37"/>
    </row>
    <row r="771" ht="15.75" customHeight="1">
      <c r="E771" s="37"/>
      <c r="F771" s="37"/>
    </row>
    <row r="772" ht="15.75" customHeight="1">
      <c r="E772" s="37"/>
      <c r="F772" s="37"/>
    </row>
    <row r="773" ht="15.75" customHeight="1">
      <c r="E773" s="37"/>
      <c r="F773" s="37"/>
    </row>
    <row r="774" ht="15.75" customHeight="1">
      <c r="E774" s="37"/>
      <c r="F774" s="37"/>
    </row>
    <row r="775" ht="15.75" customHeight="1">
      <c r="E775" s="37"/>
      <c r="F775" s="37"/>
    </row>
    <row r="776" ht="15.75" customHeight="1">
      <c r="E776" s="37"/>
      <c r="F776" s="37"/>
    </row>
    <row r="777" ht="15.75" customHeight="1">
      <c r="E777" s="37"/>
      <c r="F777" s="37"/>
    </row>
    <row r="778" ht="15.75" customHeight="1">
      <c r="E778" s="37"/>
      <c r="F778" s="37"/>
    </row>
    <row r="779" ht="15.75" customHeight="1">
      <c r="E779" s="37"/>
      <c r="F779" s="37"/>
    </row>
    <row r="780" ht="15.75" customHeight="1">
      <c r="E780" s="37"/>
      <c r="F780" s="37"/>
    </row>
    <row r="781" ht="15.75" customHeight="1">
      <c r="E781" s="37"/>
      <c r="F781" s="37"/>
    </row>
    <row r="782" ht="15.75" customHeight="1">
      <c r="E782" s="37"/>
      <c r="F782" s="37"/>
    </row>
    <row r="783" ht="15.75" customHeight="1">
      <c r="E783" s="37"/>
      <c r="F783" s="37"/>
    </row>
    <row r="784" ht="15.75" customHeight="1">
      <c r="E784" s="37"/>
      <c r="F784" s="37"/>
    </row>
    <row r="785" ht="15.75" customHeight="1">
      <c r="E785" s="37"/>
      <c r="F785" s="37"/>
    </row>
    <row r="786" ht="15.75" customHeight="1">
      <c r="E786" s="37"/>
      <c r="F786" s="37"/>
    </row>
    <row r="787" ht="15.75" customHeight="1">
      <c r="E787" s="37"/>
      <c r="F787" s="37"/>
    </row>
    <row r="788" ht="15.75" customHeight="1">
      <c r="E788" s="37"/>
      <c r="F788" s="37"/>
    </row>
    <row r="789" ht="15.75" customHeight="1">
      <c r="E789" s="37"/>
      <c r="F789" s="37"/>
    </row>
    <row r="790" ht="15.75" customHeight="1">
      <c r="E790" s="37"/>
      <c r="F790" s="37"/>
    </row>
    <row r="791" ht="15.75" customHeight="1">
      <c r="E791" s="37"/>
      <c r="F791" s="37"/>
    </row>
    <row r="792" ht="15.75" customHeight="1">
      <c r="E792" s="37"/>
      <c r="F792" s="37"/>
    </row>
    <row r="793" ht="15.75" customHeight="1">
      <c r="E793" s="37"/>
      <c r="F793" s="37"/>
    </row>
    <row r="794" ht="15.75" customHeight="1">
      <c r="E794" s="37"/>
      <c r="F794" s="37"/>
    </row>
    <row r="795" ht="15.75" customHeight="1">
      <c r="E795" s="37"/>
      <c r="F795" s="37"/>
    </row>
    <row r="796" ht="15.75" customHeight="1">
      <c r="E796" s="37"/>
      <c r="F796" s="37"/>
    </row>
    <row r="797" ht="15.75" customHeight="1">
      <c r="E797" s="37"/>
      <c r="F797" s="37"/>
    </row>
    <row r="798" ht="15.75" customHeight="1">
      <c r="E798" s="37"/>
      <c r="F798" s="37"/>
    </row>
    <row r="799" ht="15.75" customHeight="1">
      <c r="E799" s="37"/>
      <c r="F799" s="37"/>
    </row>
    <row r="800" ht="15.75" customHeight="1">
      <c r="E800" s="37"/>
      <c r="F800" s="37"/>
    </row>
    <row r="801" ht="15.75" customHeight="1">
      <c r="E801" s="37"/>
      <c r="F801" s="37"/>
    </row>
    <row r="802" ht="15.75" customHeight="1">
      <c r="E802" s="37"/>
      <c r="F802" s="37"/>
    </row>
    <row r="803" ht="15.75" customHeight="1">
      <c r="E803" s="37"/>
      <c r="F803" s="37"/>
    </row>
    <row r="804" ht="15.75" customHeight="1">
      <c r="E804" s="37"/>
      <c r="F804" s="37"/>
    </row>
    <row r="805" ht="15.75" customHeight="1">
      <c r="E805" s="37"/>
      <c r="F805" s="37"/>
    </row>
    <row r="806" ht="15.75" customHeight="1">
      <c r="E806" s="37"/>
      <c r="F806" s="37"/>
    </row>
    <row r="807" ht="15.75" customHeight="1">
      <c r="E807" s="37"/>
      <c r="F807" s="37"/>
    </row>
    <row r="808" ht="15.75" customHeight="1">
      <c r="E808" s="37"/>
      <c r="F808" s="37"/>
    </row>
    <row r="809" ht="15.75" customHeight="1">
      <c r="E809" s="37"/>
      <c r="F809" s="37"/>
    </row>
    <row r="810" ht="15.75" customHeight="1">
      <c r="E810" s="37"/>
      <c r="F810" s="37"/>
    </row>
    <row r="811" ht="15.75" customHeight="1">
      <c r="E811" s="37"/>
      <c r="F811" s="37"/>
    </row>
    <row r="812" ht="15.75" customHeight="1">
      <c r="E812" s="37"/>
      <c r="F812" s="37"/>
    </row>
    <row r="813" ht="15.75" customHeight="1">
      <c r="E813" s="37"/>
      <c r="F813" s="37"/>
    </row>
    <row r="814" ht="15.75" customHeight="1">
      <c r="E814" s="37"/>
      <c r="F814" s="37"/>
    </row>
    <row r="815" ht="15.75" customHeight="1">
      <c r="E815" s="37"/>
      <c r="F815" s="37"/>
    </row>
    <row r="816" ht="15.75" customHeight="1">
      <c r="E816" s="37"/>
      <c r="F816" s="37"/>
    </row>
    <row r="817" ht="15.75" customHeight="1">
      <c r="E817" s="37"/>
      <c r="F817" s="37"/>
    </row>
    <row r="818" ht="15.75" customHeight="1">
      <c r="E818" s="37"/>
      <c r="F818" s="37"/>
    </row>
    <row r="819" ht="15.75" customHeight="1">
      <c r="E819" s="37"/>
      <c r="F819" s="37"/>
    </row>
    <row r="820" ht="15.75" customHeight="1">
      <c r="E820" s="37"/>
      <c r="F820" s="37"/>
    </row>
    <row r="821" ht="15.75" customHeight="1">
      <c r="E821" s="37"/>
      <c r="F821" s="37"/>
    </row>
    <row r="822" ht="15.75" customHeight="1">
      <c r="E822" s="37"/>
      <c r="F822" s="37"/>
    </row>
    <row r="823" ht="15.75" customHeight="1">
      <c r="E823" s="37"/>
      <c r="F823" s="37"/>
    </row>
    <row r="824" ht="15.75" customHeight="1">
      <c r="E824" s="37"/>
      <c r="F824" s="37"/>
    </row>
    <row r="825" ht="15.75" customHeight="1">
      <c r="E825" s="37"/>
      <c r="F825" s="37"/>
    </row>
    <row r="826" ht="15.75" customHeight="1">
      <c r="E826" s="37"/>
      <c r="F826" s="37"/>
    </row>
    <row r="827" ht="15.75" customHeight="1">
      <c r="E827" s="37"/>
      <c r="F827" s="37"/>
    </row>
    <row r="828" ht="15.75" customHeight="1">
      <c r="E828" s="37"/>
      <c r="F828" s="37"/>
    </row>
    <row r="829" ht="15.75" customHeight="1">
      <c r="E829" s="37"/>
      <c r="F829" s="37"/>
    </row>
    <row r="830" ht="15.75" customHeight="1">
      <c r="E830" s="37"/>
      <c r="F830" s="37"/>
    </row>
    <row r="831" ht="15.75" customHeight="1">
      <c r="E831" s="37"/>
      <c r="F831" s="37"/>
    </row>
    <row r="832" ht="15.75" customHeight="1">
      <c r="E832" s="37"/>
      <c r="F832" s="37"/>
    </row>
    <row r="833" ht="15.75" customHeight="1">
      <c r="E833" s="37"/>
      <c r="F833" s="37"/>
    </row>
    <row r="834" ht="15.75" customHeight="1">
      <c r="E834" s="37"/>
      <c r="F834" s="37"/>
    </row>
    <row r="835" ht="15.75" customHeight="1">
      <c r="E835" s="37"/>
      <c r="F835" s="37"/>
    </row>
    <row r="836" ht="15.75" customHeight="1">
      <c r="E836" s="37"/>
      <c r="F836" s="37"/>
    </row>
    <row r="837" ht="15.75" customHeight="1">
      <c r="E837" s="37"/>
      <c r="F837" s="37"/>
    </row>
    <row r="838" ht="15.75" customHeight="1">
      <c r="E838" s="37"/>
      <c r="F838" s="37"/>
    </row>
    <row r="839" ht="15.75" customHeight="1">
      <c r="E839" s="37"/>
      <c r="F839" s="37"/>
    </row>
    <row r="840" ht="15.75" customHeight="1">
      <c r="E840" s="37"/>
      <c r="F840" s="37"/>
    </row>
    <row r="841" ht="15.75" customHeight="1">
      <c r="E841" s="37"/>
      <c r="F841" s="37"/>
    </row>
    <row r="842" ht="15.75" customHeight="1">
      <c r="E842" s="37"/>
      <c r="F842" s="37"/>
    </row>
    <row r="843" ht="15.75" customHeight="1">
      <c r="E843" s="37"/>
      <c r="F843" s="37"/>
    </row>
    <row r="844" ht="15.75" customHeight="1">
      <c r="E844" s="37"/>
      <c r="F844" s="37"/>
    </row>
    <row r="845" ht="15.75" customHeight="1">
      <c r="E845" s="37"/>
      <c r="F845" s="37"/>
    </row>
    <row r="846" ht="15.75" customHeight="1">
      <c r="E846" s="37"/>
      <c r="F846" s="37"/>
    </row>
    <row r="847" ht="15.75" customHeight="1">
      <c r="E847" s="37"/>
      <c r="F847" s="37"/>
    </row>
    <row r="848" ht="15.75" customHeight="1">
      <c r="E848" s="37"/>
      <c r="F848" s="37"/>
    </row>
    <row r="849" ht="15.75" customHeight="1">
      <c r="E849" s="37"/>
      <c r="F849" s="37"/>
    </row>
    <row r="850" ht="15.75" customHeight="1">
      <c r="E850" s="37"/>
      <c r="F850" s="37"/>
    </row>
    <row r="851" ht="15.75" customHeight="1">
      <c r="E851" s="37"/>
      <c r="F851" s="37"/>
    </row>
    <row r="852" ht="15.75" customHeight="1">
      <c r="E852" s="37"/>
      <c r="F852" s="37"/>
    </row>
    <row r="853" ht="15.75" customHeight="1">
      <c r="E853" s="37"/>
      <c r="F853" s="37"/>
    </row>
    <row r="854" ht="15.75" customHeight="1">
      <c r="E854" s="37"/>
      <c r="F854" s="37"/>
    </row>
    <row r="855" ht="15.75" customHeight="1">
      <c r="E855" s="37"/>
      <c r="F855" s="37"/>
    </row>
    <row r="856" ht="15.75" customHeight="1">
      <c r="E856" s="37"/>
      <c r="F856" s="37"/>
    </row>
    <row r="857" ht="15.75" customHeight="1">
      <c r="E857" s="37"/>
      <c r="F857" s="37"/>
    </row>
    <row r="858" ht="15.75" customHeight="1">
      <c r="E858" s="37"/>
      <c r="F858" s="37"/>
    </row>
    <row r="859" ht="15.75" customHeight="1">
      <c r="E859" s="37"/>
      <c r="F859" s="37"/>
    </row>
    <row r="860" ht="15.75" customHeight="1">
      <c r="E860" s="37"/>
      <c r="F860" s="37"/>
    </row>
    <row r="861" ht="15.75" customHeight="1">
      <c r="E861" s="37"/>
      <c r="F861" s="37"/>
    </row>
    <row r="862" ht="15.75" customHeight="1">
      <c r="E862" s="37"/>
      <c r="F862" s="37"/>
    </row>
    <row r="863" ht="15.75" customHeight="1">
      <c r="E863" s="37"/>
      <c r="F863" s="37"/>
    </row>
    <row r="864" ht="15.75" customHeight="1">
      <c r="E864" s="37"/>
      <c r="F864" s="37"/>
    </row>
    <row r="865" ht="15.75" customHeight="1">
      <c r="E865" s="37"/>
      <c r="F865" s="37"/>
    </row>
    <row r="866" ht="15.75" customHeight="1">
      <c r="E866" s="37"/>
      <c r="F866" s="37"/>
    </row>
    <row r="867" ht="15.75" customHeight="1">
      <c r="E867" s="37"/>
      <c r="F867" s="37"/>
    </row>
    <row r="868" ht="15.75" customHeight="1">
      <c r="E868" s="37"/>
      <c r="F868" s="37"/>
    </row>
    <row r="869" ht="15.75" customHeight="1">
      <c r="E869" s="37"/>
      <c r="F869" s="37"/>
    </row>
    <row r="870" ht="15.75" customHeight="1">
      <c r="E870" s="37"/>
      <c r="F870" s="37"/>
    </row>
    <row r="871" ht="15.75" customHeight="1">
      <c r="E871" s="37"/>
      <c r="F871" s="37"/>
    </row>
    <row r="872" ht="15.75" customHeight="1">
      <c r="E872" s="37"/>
      <c r="F872" s="37"/>
    </row>
    <row r="873" ht="15.75" customHeight="1">
      <c r="E873" s="37"/>
      <c r="F873" s="37"/>
    </row>
    <row r="874" ht="15.75" customHeight="1">
      <c r="E874" s="37"/>
      <c r="F874" s="37"/>
    </row>
    <row r="875" ht="15.75" customHeight="1">
      <c r="E875" s="37"/>
      <c r="F875" s="37"/>
    </row>
    <row r="876" ht="15.75" customHeight="1">
      <c r="E876" s="37"/>
      <c r="F876" s="37"/>
    </row>
    <row r="877" ht="15.75" customHeight="1">
      <c r="E877" s="37"/>
      <c r="F877" s="37"/>
    </row>
    <row r="878" ht="15.75" customHeight="1">
      <c r="E878" s="37"/>
      <c r="F878" s="37"/>
    </row>
    <row r="879" ht="15.75" customHeight="1">
      <c r="E879" s="37"/>
      <c r="F879" s="37"/>
    </row>
    <row r="880" ht="15.75" customHeight="1">
      <c r="E880" s="37"/>
      <c r="F880" s="37"/>
    </row>
    <row r="881" ht="15.75" customHeight="1">
      <c r="E881" s="37"/>
      <c r="F881" s="37"/>
    </row>
    <row r="882" ht="15.75" customHeight="1">
      <c r="E882" s="37"/>
      <c r="F882" s="37"/>
    </row>
    <row r="883" ht="15.75" customHeight="1">
      <c r="E883" s="37"/>
      <c r="F883" s="37"/>
    </row>
    <row r="884" ht="15.75" customHeight="1">
      <c r="E884" s="37"/>
      <c r="F884" s="37"/>
    </row>
    <row r="885" ht="15.75" customHeight="1">
      <c r="E885" s="37"/>
      <c r="F885" s="37"/>
    </row>
    <row r="886" ht="15.75" customHeight="1">
      <c r="E886" s="37"/>
      <c r="F886" s="37"/>
    </row>
    <row r="887" ht="15.75" customHeight="1">
      <c r="E887" s="37"/>
      <c r="F887" s="37"/>
    </row>
    <row r="888" ht="15.75" customHeight="1">
      <c r="E888" s="37"/>
      <c r="F888" s="37"/>
    </row>
    <row r="889" ht="15.75" customHeight="1">
      <c r="E889" s="37"/>
      <c r="F889" s="37"/>
    </row>
    <row r="890" ht="15.75" customHeight="1">
      <c r="E890" s="37"/>
      <c r="F890" s="37"/>
    </row>
    <row r="891" ht="15.75" customHeight="1">
      <c r="E891" s="37"/>
      <c r="F891" s="37"/>
    </row>
    <row r="892" ht="15.75" customHeight="1">
      <c r="E892" s="37"/>
      <c r="F892" s="37"/>
    </row>
    <row r="893" ht="15.75" customHeight="1">
      <c r="E893" s="37"/>
      <c r="F893" s="37"/>
    </row>
    <row r="894" ht="15.75" customHeight="1">
      <c r="E894" s="37"/>
      <c r="F894" s="37"/>
    </row>
    <row r="895" ht="15.75" customHeight="1">
      <c r="E895" s="37"/>
      <c r="F895" s="37"/>
    </row>
    <row r="896" ht="15.75" customHeight="1">
      <c r="E896" s="37"/>
      <c r="F896" s="37"/>
    </row>
    <row r="897" ht="15.75" customHeight="1">
      <c r="E897" s="37"/>
      <c r="F897" s="37"/>
    </row>
    <row r="898" ht="15.75" customHeight="1">
      <c r="E898" s="37"/>
      <c r="F898" s="37"/>
    </row>
    <row r="899" ht="15.75" customHeight="1">
      <c r="E899" s="37"/>
      <c r="F899" s="37"/>
    </row>
    <row r="900" ht="15.75" customHeight="1">
      <c r="E900" s="37"/>
      <c r="F900" s="37"/>
    </row>
    <row r="901" ht="15.75" customHeight="1">
      <c r="E901" s="37"/>
      <c r="F901" s="37"/>
    </row>
    <row r="902" ht="15.75" customHeight="1">
      <c r="E902" s="37"/>
      <c r="F902" s="37"/>
    </row>
    <row r="903" ht="15.75" customHeight="1">
      <c r="E903" s="37"/>
      <c r="F903" s="37"/>
    </row>
    <row r="904" ht="15.75" customHeight="1">
      <c r="E904" s="37"/>
      <c r="F904" s="37"/>
    </row>
    <row r="905" ht="15.75" customHeight="1">
      <c r="E905" s="37"/>
      <c r="F905" s="37"/>
    </row>
    <row r="906" ht="15.75" customHeight="1">
      <c r="E906" s="37"/>
      <c r="F906" s="37"/>
    </row>
    <row r="907" ht="15.75" customHeight="1">
      <c r="E907" s="37"/>
      <c r="F907" s="37"/>
    </row>
    <row r="908" ht="15.75" customHeight="1">
      <c r="E908" s="37"/>
      <c r="F908" s="37"/>
    </row>
    <row r="909" ht="15.75" customHeight="1">
      <c r="E909" s="37"/>
      <c r="F909" s="37"/>
    </row>
    <row r="910" ht="15.75" customHeight="1">
      <c r="E910" s="37"/>
      <c r="F910" s="37"/>
    </row>
    <row r="911" ht="15.75" customHeight="1">
      <c r="E911" s="37"/>
      <c r="F911" s="37"/>
    </row>
    <row r="912" ht="15.75" customHeight="1">
      <c r="E912" s="37"/>
      <c r="F912" s="37"/>
    </row>
    <row r="913" ht="15.75" customHeight="1">
      <c r="E913" s="37"/>
      <c r="F913" s="37"/>
    </row>
    <row r="914" ht="15.75" customHeight="1">
      <c r="E914" s="37"/>
      <c r="F914" s="37"/>
    </row>
    <row r="915" ht="15.75" customHeight="1">
      <c r="E915" s="37"/>
      <c r="F915" s="37"/>
    </row>
    <row r="916" ht="15.75" customHeight="1">
      <c r="E916" s="37"/>
      <c r="F916" s="37"/>
    </row>
    <row r="917" ht="15.75" customHeight="1">
      <c r="E917" s="37"/>
      <c r="F917" s="37"/>
    </row>
    <row r="918" ht="15.75" customHeight="1">
      <c r="E918" s="37"/>
      <c r="F918" s="37"/>
    </row>
    <row r="919" ht="15.75" customHeight="1">
      <c r="E919" s="37"/>
      <c r="F919" s="37"/>
    </row>
    <row r="920" ht="15.75" customHeight="1">
      <c r="E920" s="37"/>
      <c r="F920" s="37"/>
    </row>
    <row r="921" ht="15.75" customHeight="1">
      <c r="E921" s="37"/>
      <c r="F921" s="37"/>
    </row>
    <row r="922" ht="15.75" customHeight="1">
      <c r="E922" s="37"/>
      <c r="F922" s="37"/>
    </row>
    <row r="923" ht="15.75" customHeight="1">
      <c r="E923" s="37"/>
      <c r="F923" s="37"/>
    </row>
    <row r="924" ht="15.75" customHeight="1">
      <c r="E924" s="37"/>
      <c r="F924" s="37"/>
    </row>
    <row r="925" ht="15.75" customHeight="1">
      <c r="E925" s="37"/>
      <c r="F925" s="37"/>
    </row>
    <row r="926" ht="15.75" customHeight="1">
      <c r="E926" s="37"/>
      <c r="F926" s="37"/>
    </row>
    <row r="927" ht="15.75" customHeight="1">
      <c r="E927" s="37"/>
      <c r="F927" s="37"/>
    </row>
    <row r="928" ht="15.75" customHeight="1">
      <c r="E928" s="37"/>
      <c r="F928" s="37"/>
    </row>
    <row r="929" ht="15.75" customHeight="1">
      <c r="E929" s="37"/>
      <c r="F929" s="37"/>
    </row>
    <row r="930" ht="15.75" customHeight="1">
      <c r="E930" s="37"/>
      <c r="F930" s="37"/>
    </row>
    <row r="931" ht="15.75" customHeight="1">
      <c r="E931" s="37"/>
      <c r="F931" s="37"/>
    </row>
    <row r="932" ht="15.75" customHeight="1">
      <c r="E932" s="37"/>
      <c r="F932" s="37"/>
    </row>
    <row r="933" ht="15.75" customHeight="1">
      <c r="E933" s="37"/>
      <c r="F933" s="37"/>
    </row>
    <row r="934" ht="15.75" customHeight="1">
      <c r="E934" s="37"/>
      <c r="F934" s="37"/>
    </row>
    <row r="935" ht="15.75" customHeight="1">
      <c r="E935" s="37"/>
      <c r="F935" s="37"/>
    </row>
    <row r="936" ht="15.75" customHeight="1">
      <c r="E936" s="37"/>
      <c r="F936" s="37"/>
    </row>
    <row r="937" ht="15.75" customHeight="1">
      <c r="E937" s="37"/>
      <c r="F937" s="37"/>
    </row>
    <row r="938" ht="15.75" customHeight="1">
      <c r="E938" s="37"/>
      <c r="F938" s="37"/>
    </row>
    <row r="939" ht="15.75" customHeight="1">
      <c r="E939" s="37"/>
      <c r="F939" s="37"/>
    </row>
    <row r="940" ht="15.75" customHeight="1">
      <c r="E940" s="37"/>
      <c r="F940" s="37"/>
    </row>
    <row r="941" ht="15.75" customHeight="1">
      <c r="E941" s="37"/>
      <c r="F941" s="37"/>
    </row>
    <row r="942" ht="15.75" customHeight="1">
      <c r="E942" s="37"/>
      <c r="F942" s="37"/>
    </row>
    <row r="943" ht="15.75" customHeight="1">
      <c r="E943" s="37"/>
      <c r="F943" s="37"/>
    </row>
    <row r="944" ht="15.75" customHeight="1">
      <c r="E944" s="37"/>
      <c r="F944" s="37"/>
    </row>
    <row r="945" ht="15.75" customHeight="1">
      <c r="E945" s="37"/>
      <c r="F945" s="37"/>
    </row>
    <row r="946" ht="15.75" customHeight="1">
      <c r="E946" s="37"/>
      <c r="F946" s="37"/>
    </row>
    <row r="947" ht="15.75" customHeight="1">
      <c r="E947" s="37"/>
      <c r="F947" s="37"/>
    </row>
    <row r="948" ht="15.75" customHeight="1">
      <c r="E948" s="37"/>
      <c r="F948" s="37"/>
    </row>
    <row r="949" ht="15.75" customHeight="1">
      <c r="E949" s="37"/>
      <c r="F949" s="37"/>
    </row>
    <row r="950" ht="15.75" customHeight="1">
      <c r="E950" s="37"/>
      <c r="F950" s="37"/>
    </row>
    <row r="951" ht="15.75" customHeight="1">
      <c r="E951" s="37"/>
      <c r="F951" s="37"/>
    </row>
    <row r="952" ht="15.75" customHeight="1">
      <c r="E952" s="37"/>
      <c r="F952" s="37"/>
    </row>
    <row r="953" ht="15.75" customHeight="1">
      <c r="E953" s="37"/>
      <c r="F953" s="37"/>
    </row>
    <row r="954" ht="15.75" customHeight="1">
      <c r="E954" s="37"/>
      <c r="F954" s="37"/>
    </row>
    <row r="955" ht="15.75" customHeight="1">
      <c r="E955" s="37"/>
      <c r="F955" s="37"/>
    </row>
    <row r="956" ht="15.75" customHeight="1">
      <c r="E956" s="37"/>
      <c r="F956" s="37"/>
    </row>
    <row r="957" ht="15.75" customHeight="1">
      <c r="E957" s="37"/>
      <c r="F957" s="37"/>
    </row>
    <row r="958" ht="15.75" customHeight="1">
      <c r="E958" s="37"/>
      <c r="F958" s="37"/>
    </row>
    <row r="959" ht="15.75" customHeight="1">
      <c r="E959" s="37"/>
      <c r="F959" s="37"/>
    </row>
    <row r="960" ht="15.75" customHeight="1">
      <c r="E960" s="37"/>
      <c r="F960" s="37"/>
    </row>
    <row r="961" ht="15.75" customHeight="1">
      <c r="E961" s="37"/>
      <c r="F961" s="37"/>
    </row>
    <row r="962" ht="15.75" customHeight="1">
      <c r="E962" s="37"/>
      <c r="F962" s="37"/>
    </row>
    <row r="963" ht="15.75" customHeight="1">
      <c r="E963" s="37"/>
      <c r="F963" s="37"/>
    </row>
    <row r="964" ht="15.75" customHeight="1">
      <c r="E964" s="37"/>
      <c r="F964" s="37"/>
    </row>
    <row r="965" ht="15.75" customHeight="1">
      <c r="E965" s="37"/>
      <c r="F965" s="37"/>
    </row>
    <row r="966" ht="15.75" customHeight="1">
      <c r="E966" s="37"/>
      <c r="F966" s="37"/>
    </row>
    <row r="967" ht="15.75" customHeight="1">
      <c r="E967" s="37"/>
      <c r="F967" s="37"/>
    </row>
    <row r="968" ht="15.75" customHeight="1">
      <c r="E968" s="37"/>
      <c r="F968" s="37"/>
    </row>
    <row r="969" ht="15.75" customHeight="1">
      <c r="E969" s="37"/>
      <c r="F969" s="37"/>
    </row>
    <row r="970" ht="15.75" customHeight="1">
      <c r="E970" s="37"/>
      <c r="F970" s="37"/>
    </row>
    <row r="971" ht="15.75" customHeight="1">
      <c r="E971" s="37"/>
      <c r="F971" s="37"/>
    </row>
    <row r="972" ht="15.75" customHeight="1">
      <c r="E972" s="37"/>
      <c r="F972" s="37"/>
    </row>
    <row r="973" ht="15.75" customHeight="1">
      <c r="E973" s="37"/>
      <c r="F973" s="37"/>
    </row>
    <row r="974" ht="15.75" customHeight="1">
      <c r="E974" s="37"/>
      <c r="F974" s="37"/>
    </row>
    <row r="975" ht="15.75" customHeight="1">
      <c r="E975" s="37"/>
      <c r="F975" s="37"/>
    </row>
    <row r="976" ht="15.75" customHeight="1">
      <c r="E976" s="37"/>
      <c r="F976" s="37"/>
    </row>
    <row r="977" ht="15.75" customHeight="1">
      <c r="E977" s="37"/>
      <c r="F977" s="37"/>
    </row>
    <row r="978" ht="15.75" customHeight="1">
      <c r="E978" s="37"/>
      <c r="F978" s="37"/>
    </row>
    <row r="979" ht="15.75" customHeight="1">
      <c r="E979" s="37"/>
      <c r="F979" s="37"/>
    </row>
    <row r="980" ht="15.75" customHeight="1">
      <c r="E980" s="37"/>
      <c r="F980" s="37"/>
    </row>
    <row r="981" ht="15.75" customHeight="1">
      <c r="E981" s="37"/>
      <c r="F981" s="37"/>
    </row>
    <row r="982" ht="15.75" customHeight="1">
      <c r="E982" s="37"/>
      <c r="F982" s="37"/>
    </row>
    <row r="983" ht="15.75" customHeight="1">
      <c r="E983" s="37"/>
      <c r="F983" s="37"/>
    </row>
    <row r="984" ht="15.75" customHeight="1">
      <c r="E984" s="37"/>
      <c r="F984" s="37"/>
    </row>
    <row r="985" ht="15.75" customHeight="1">
      <c r="E985" s="37"/>
      <c r="F985" s="37"/>
    </row>
    <row r="986" ht="15.75" customHeight="1">
      <c r="E986" s="37"/>
      <c r="F986" s="37"/>
    </row>
    <row r="987" ht="15.75" customHeight="1">
      <c r="E987" s="37"/>
      <c r="F987" s="37"/>
    </row>
    <row r="988" ht="15.75" customHeight="1">
      <c r="E988" s="37"/>
      <c r="F988" s="37"/>
    </row>
    <row r="989" ht="15.75" customHeight="1">
      <c r="E989" s="37"/>
      <c r="F989" s="37"/>
    </row>
    <row r="990" ht="15.75" customHeight="1">
      <c r="E990" s="37"/>
      <c r="F990" s="37"/>
    </row>
    <row r="991" ht="15.75" customHeight="1">
      <c r="E991" s="37"/>
      <c r="F991" s="37"/>
    </row>
    <row r="992" ht="15.75" customHeight="1">
      <c r="E992" s="37"/>
      <c r="F992" s="37"/>
    </row>
    <row r="993" ht="15.75" customHeight="1">
      <c r="E993" s="37"/>
      <c r="F993" s="37"/>
    </row>
    <row r="994" ht="15.75" customHeight="1">
      <c r="E994" s="37"/>
      <c r="F994" s="37"/>
    </row>
    <row r="995" ht="15.75" customHeight="1">
      <c r="E995" s="37"/>
      <c r="F995" s="37"/>
    </row>
    <row r="996" ht="15.75" customHeight="1">
      <c r="E996" s="37"/>
      <c r="F996" s="37"/>
    </row>
    <row r="997" ht="15.75" customHeight="1">
      <c r="E997" s="37"/>
      <c r="F997" s="37"/>
    </row>
    <row r="998" ht="15.75" customHeight="1">
      <c r="E998" s="37"/>
      <c r="F998" s="37"/>
    </row>
    <row r="999" ht="15.75" customHeight="1">
      <c r="E999" s="37"/>
      <c r="F999" s="37"/>
    </row>
    <row r="1000" ht="15.75" customHeight="1">
      <c r="E1000" s="37"/>
      <c r="F1000" s="37"/>
    </row>
    <row r="1001" ht="15.75" customHeight="1">
      <c r="E1001" s="37"/>
      <c r="F1001" s="37"/>
    </row>
    <row r="1002" ht="15.75" customHeight="1">
      <c r="E1002" s="37"/>
      <c r="F1002" s="37"/>
    </row>
    <row r="1003" ht="15.75" customHeight="1">
      <c r="E1003" s="37"/>
      <c r="F1003" s="37"/>
    </row>
  </sheetData>
  <dataValidations>
    <dataValidation type="list" allowBlank="1" sqref="P2:P26">
      <formula1>"On Going,Report,Invoice,Finish/Paid,Waiting Payment"</formula1>
    </dataValidation>
    <dataValidation type="custom" allowBlank="1" showDropDown="1" sqref="E2:F26">
      <formula1>OR(NOT(ISERROR(DATEVALUE(E2))), AND(ISNUMBER(E2), LEFT(CELL("format", E2))="D"))</formula1>
    </dataValidation>
    <dataValidation type="custom" allowBlank="1" showDropDown="1" sqref="G2:H26 N2:N26">
      <formula1>AND(ISNUMBER(G2),(NOT(OR(NOT(ISERROR(DATEVALUE(G2))), AND(ISNUMBER(G2), LEFT(CELL("format", G2))="D")))))</formula1>
    </dataValidation>
  </dataValidations>
  <hyperlinks>
    <hyperlink r:id="rId1" ref="M2"/>
    <hyperlink r:id="rId2" ref="M3"/>
    <hyperlink r:id="rId3" ref="M4"/>
    <hyperlink r:id="rId4" ref="M5"/>
    <hyperlink r:id="rId5" ref="M6"/>
    <hyperlink r:id="rId6" ref="M8"/>
    <hyperlink r:id="rId7" ref="M9"/>
    <hyperlink r:id="rId8" ref="M10"/>
  </hyperlinks>
  <printOptions/>
  <pageMargins bottom="1.0" footer="0.0" header="0.0" left="0.75" right="0.75" top="1.0"/>
  <pageSetup orientation="landscape"/>
  <drawing r:id="rId9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6.43"/>
    <col customWidth="1" min="3" max="3" width="22.0"/>
    <col customWidth="1" min="4" max="4" width="32.86"/>
    <col customWidth="1" min="5" max="26" width="8.71"/>
  </cols>
  <sheetData>
    <row r="1" ht="22.5" customHeight="1">
      <c r="A1" s="55" t="s">
        <v>241</v>
      </c>
      <c r="B1" s="55" t="s">
        <v>242</v>
      </c>
      <c r="C1" s="55" t="s">
        <v>243</v>
      </c>
      <c r="D1" s="55" t="s">
        <v>244</v>
      </c>
    </row>
    <row r="2" ht="22.5" customHeight="1">
      <c r="A2" s="56" t="s">
        <v>245</v>
      </c>
      <c r="B2" s="57">
        <v>1.5E9</v>
      </c>
      <c r="C2" s="58" t="s">
        <v>246</v>
      </c>
      <c r="D2" s="59">
        <v>5.0E8</v>
      </c>
    </row>
    <row r="3" ht="22.5" customHeight="1">
      <c r="A3" s="56" t="s">
        <v>245</v>
      </c>
      <c r="B3" s="57"/>
      <c r="C3" s="58"/>
      <c r="D3" s="59">
        <v>1.0E9</v>
      </c>
    </row>
    <row r="4" ht="22.5" customHeight="1">
      <c r="A4" s="56" t="s">
        <v>247</v>
      </c>
      <c r="B4" s="57">
        <v>1.5E9</v>
      </c>
      <c r="C4" s="58" t="s">
        <v>246</v>
      </c>
      <c r="D4" s="59">
        <v>5.0E8</v>
      </c>
    </row>
    <row r="5" ht="22.5" customHeight="1">
      <c r="A5" s="56" t="s">
        <v>247</v>
      </c>
      <c r="B5" s="57"/>
      <c r="C5" s="58"/>
      <c r="D5" s="59">
        <v>1.0E9</v>
      </c>
    </row>
    <row r="6" ht="22.5" customHeight="1">
      <c r="A6" s="56" t="s">
        <v>248</v>
      </c>
      <c r="B6" s="57">
        <v>1.5E9</v>
      </c>
      <c r="C6" s="58" t="s">
        <v>246</v>
      </c>
      <c r="D6" s="59">
        <v>5.0E8</v>
      </c>
    </row>
    <row r="7" ht="22.5" customHeight="1">
      <c r="A7" s="56" t="s">
        <v>248</v>
      </c>
      <c r="B7" s="57"/>
      <c r="C7" s="58"/>
      <c r="D7" s="59">
        <v>1.0E9</v>
      </c>
    </row>
    <row r="8" ht="22.5" customHeight="1">
      <c r="A8" s="56" t="s">
        <v>249</v>
      </c>
      <c r="B8" s="57">
        <v>1.5E9</v>
      </c>
      <c r="C8" s="58" t="s">
        <v>246</v>
      </c>
      <c r="D8" s="59">
        <v>5.0E8</v>
      </c>
    </row>
    <row r="9" ht="22.5" customHeight="1">
      <c r="A9" s="56" t="s">
        <v>249</v>
      </c>
      <c r="B9" s="57"/>
      <c r="C9" s="58"/>
      <c r="D9" s="59">
        <v>1.0E9</v>
      </c>
    </row>
    <row r="10" ht="22.5" customHeight="1">
      <c r="A10" s="56" t="s">
        <v>250</v>
      </c>
      <c r="B10" s="57">
        <v>1.5E9</v>
      </c>
      <c r="C10" s="58" t="s">
        <v>246</v>
      </c>
      <c r="D10" s="59">
        <v>5.0E8</v>
      </c>
    </row>
    <row r="11" ht="22.5" customHeight="1">
      <c r="A11" s="56" t="s">
        <v>250</v>
      </c>
      <c r="B11" s="57"/>
      <c r="C11" s="58"/>
      <c r="D11" s="59">
        <v>1.0E9</v>
      </c>
    </row>
    <row r="12" ht="22.5" customHeight="1">
      <c r="A12" s="56" t="s">
        <v>251</v>
      </c>
      <c r="B12" s="57">
        <v>1.5E9</v>
      </c>
      <c r="C12" s="58" t="s">
        <v>246</v>
      </c>
      <c r="D12" s="59">
        <v>5.0E8</v>
      </c>
    </row>
    <row r="13" ht="22.5" customHeight="1">
      <c r="A13" s="56" t="s">
        <v>251</v>
      </c>
      <c r="B13" s="57"/>
      <c r="C13" s="58"/>
      <c r="D13" s="59">
        <v>1.0E9</v>
      </c>
    </row>
    <row r="14" ht="22.5" customHeight="1">
      <c r="A14" s="56" t="s">
        <v>252</v>
      </c>
      <c r="B14" s="57">
        <v>1.5E9</v>
      </c>
      <c r="C14" s="58" t="s">
        <v>246</v>
      </c>
      <c r="D14" s="59">
        <v>5.0E8</v>
      </c>
    </row>
    <row r="15" ht="15.75" customHeight="1">
      <c r="A15" s="56" t="s">
        <v>252</v>
      </c>
      <c r="B15" s="57"/>
      <c r="C15" s="58"/>
      <c r="D15" s="59">
        <v>1.0E9</v>
      </c>
    </row>
    <row r="16" ht="15.75" customHeight="1">
      <c r="A16" s="56" t="s">
        <v>253</v>
      </c>
      <c r="B16" s="57">
        <v>1.5E9</v>
      </c>
      <c r="C16" s="58" t="s">
        <v>246</v>
      </c>
      <c r="D16" s="59">
        <v>5.0E8</v>
      </c>
    </row>
    <row r="17" ht="15.75" customHeight="1">
      <c r="A17" s="56" t="s">
        <v>253</v>
      </c>
      <c r="B17" s="57"/>
      <c r="C17" s="58"/>
      <c r="D17" s="59">
        <v>1.0E9</v>
      </c>
    </row>
    <row r="18" ht="15.75" customHeight="1">
      <c r="A18" s="56" t="s">
        <v>254</v>
      </c>
      <c r="B18" s="57">
        <v>1.5E9</v>
      </c>
      <c r="C18" s="58" t="s">
        <v>246</v>
      </c>
      <c r="D18" s="59">
        <v>5.0E8</v>
      </c>
    </row>
    <row r="19" ht="15.75" customHeight="1">
      <c r="A19" s="56" t="s">
        <v>254</v>
      </c>
      <c r="B19" s="57"/>
      <c r="C19" s="58"/>
      <c r="D19" s="59">
        <v>1.0E9</v>
      </c>
    </row>
    <row r="20" ht="15.75" customHeight="1">
      <c r="A20" s="56" t="s">
        <v>255</v>
      </c>
      <c r="B20" s="57">
        <v>1.5E9</v>
      </c>
      <c r="C20" s="58" t="s">
        <v>246</v>
      </c>
      <c r="D20" s="59">
        <v>5.0E8</v>
      </c>
    </row>
    <row r="21" ht="15.75" customHeight="1">
      <c r="A21" s="56" t="s">
        <v>255</v>
      </c>
      <c r="B21" s="60"/>
      <c r="C21" s="58"/>
      <c r="D21" s="59">
        <v>1.0E9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custom" allowBlank="1" showDropDown="1" sqref="D2:D21">
      <formula1>AND(ISNUMBER(D2),(NOT(OR(NOT(ISERROR(DATEVALUE(D2))), AND(ISNUMBER(D2), LEFT(CELL("format", D2))="D")))))</formula1>
    </dataValidation>
    <dataValidation type="list" allowBlank="1" sqref="C2:C21">
      <formula1>"GERRY,KARINA"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4.29"/>
    <col customWidth="1" min="2" max="2" width="19.29"/>
    <col customWidth="1" min="3" max="3" width="8.71"/>
    <col customWidth="1" min="4" max="4" width="30.71"/>
    <col customWidth="1" min="5" max="5" width="15.14"/>
    <col customWidth="1" min="6" max="6" width="9.29"/>
    <col customWidth="1" min="7" max="7" width="16.14"/>
    <col customWidth="1" min="8" max="8" width="34.86"/>
    <col customWidth="1" min="9" max="9" width="19.86"/>
    <col customWidth="1" min="10" max="10" width="15.86"/>
    <col customWidth="1" min="11" max="26" width="8.71"/>
  </cols>
  <sheetData>
    <row r="1">
      <c r="A1" s="61" t="s">
        <v>256</v>
      </c>
      <c r="B1" s="62"/>
      <c r="C1" s="62"/>
      <c r="D1" s="62"/>
      <c r="E1" s="62"/>
      <c r="F1" s="62"/>
      <c r="G1" s="62"/>
      <c r="H1" s="63"/>
      <c r="I1" s="64"/>
      <c r="J1" s="64"/>
    </row>
    <row r="2">
      <c r="A2" s="64"/>
      <c r="B2" s="64"/>
      <c r="C2" s="64"/>
      <c r="D2" s="64"/>
      <c r="E2" s="64"/>
      <c r="F2" s="64"/>
      <c r="G2" s="64"/>
      <c r="H2" s="64"/>
      <c r="I2" s="64"/>
      <c r="J2" s="64"/>
    </row>
    <row r="3" ht="22.5" customHeight="1">
      <c r="A3" s="65" t="s">
        <v>257</v>
      </c>
      <c r="B3" s="66" t="s">
        <v>245</v>
      </c>
      <c r="C3" s="64"/>
      <c r="D3" s="67" t="s">
        <v>258</v>
      </c>
      <c r="E3" s="64"/>
      <c r="F3" s="64"/>
      <c r="G3" s="64"/>
      <c r="H3" s="64"/>
      <c r="I3" s="64"/>
      <c r="J3" s="64"/>
    </row>
    <row r="4" ht="22.5" customHeight="1">
      <c r="A4" s="68"/>
      <c r="B4" s="68"/>
      <c r="C4" s="64"/>
      <c r="D4" s="69" t="s">
        <v>243</v>
      </c>
      <c r="E4" s="69" t="s">
        <v>259</v>
      </c>
      <c r="F4" s="69" t="s">
        <v>260</v>
      </c>
      <c r="G4" s="69" t="s">
        <v>261</v>
      </c>
      <c r="H4" s="69" t="s">
        <v>262</v>
      </c>
      <c r="I4" s="64"/>
      <c r="J4" s="64"/>
    </row>
    <row r="5" ht="22.5" customHeight="1">
      <c r="A5" s="70" t="s">
        <v>263</v>
      </c>
      <c r="B5" s="71">
        <f>IFERROR(SUMIFS(Inputs_Targets!B:B, Inputs_Targets!A:A, $B$3),0)
</f>
        <v>1500000000</v>
      </c>
      <c r="C5" s="64"/>
      <c r="D5" s="64" t="str">
        <f>IFERROR(Helper!A2,"")</f>
        <v>GERRY</v>
      </c>
      <c r="E5" s="72">
        <f>IF($D5="",,SUMIFS(Inputs_Targets!D:D,Inputs_Targets!A:A,$B$3,Inputs_Targets!C:C,$D5))</f>
        <v>500000000</v>
      </c>
      <c r="F5" s="72" t="str">
        <f>IF($D5="",,SUMPRODUCT((Pipeline!E:E=$D5)*(Pipeline!F:F="Won")*(TEXT(Pipeline!I:I,"yyyy-mm")=$B$3)*Pipeline!G:G))</f>
        <v>#VALUE!</v>
      </c>
      <c r="G5" s="72" t="str">
        <f t="shared" ref="G5:G24" si="1">IF($D5="",,E5-F5)</f>
        <v>#VALUE!</v>
      </c>
      <c r="H5" s="73" t="s">
        <v>264</v>
      </c>
      <c r="I5" s="69" t="s">
        <v>242</v>
      </c>
      <c r="J5" s="69" t="s">
        <v>265</v>
      </c>
    </row>
    <row r="6" ht="22.5" customHeight="1">
      <c r="A6" s="70" t="s">
        <v>266</v>
      </c>
      <c r="B6" s="71">
        <f>IFERROR(__xludf.DUMMYFUNCTION("IFERROR(SUM(FILTER(Pipeline!G:G,
  Pipeline!F:F=""Won"",
  TEXT(Pipeline!I:I,""yyyy-mm"")=$B$3
)),0)
"),0.0)</f>
        <v>0</v>
      </c>
      <c r="C6" s="64"/>
      <c r="D6" s="64" t="str">
        <f>IFERROR(Helper!A3,"")</f>
        <v>Salesperson</v>
      </c>
      <c r="E6" s="72">
        <f>IF($D6="",,SUMIFS(Inputs_Targets!D:D,Inputs_Targets!A:A,$B$3,Inputs_Targets!C:C,$D6))</f>
        <v>0</v>
      </c>
      <c r="F6" s="72" t="str">
        <f>IF($D6="",,SUMPRODUCT((Pipeline!E:E=$D6)*(Pipeline!F:F="Won")*(TEXT(Pipeline!I:I,"yyyy-mm")=$B$3)*Pipeline!G:G))</f>
        <v>#VALUE!</v>
      </c>
      <c r="G6" s="72" t="str">
        <f t="shared" si="1"/>
        <v>#VALUE!</v>
      </c>
      <c r="H6" s="74" t="s">
        <v>245</v>
      </c>
      <c r="I6" s="72" t="str">
        <f>SUMIFS(Inputs_Targets!B:B,Inputs_Targets!A:A,I6)</f>
        <v>#REF!</v>
      </c>
      <c r="J6" s="72" t="str">
        <f>SUMPRODUCT((Pipeline!F:F="Won")*(TEXT(Pipeline!I:I,"yyyy-mm")=I6)*Pipeline!G:G)</f>
        <v>#REF!</v>
      </c>
    </row>
    <row r="7" ht="22.5" customHeight="1">
      <c r="A7" s="70" t="s">
        <v>267</v>
      </c>
      <c r="B7" s="75">
        <f>IFERROR(B6/B5,0)</f>
        <v>0</v>
      </c>
      <c r="C7" s="64"/>
      <c r="D7" s="64" t="str">
        <f>IFERROR(Helper!A4,"")</f>
        <v/>
      </c>
      <c r="E7" s="72" t="str">
        <f>IF($D7="",,SUMIFS(Inputs_Targets!D:D,Inputs_Targets!A:A,$B$3,Inputs_Targets!C:C,$D7))</f>
        <v/>
      </c>
      <c r="F7" s="72" t="str">
        <f>IF($D7="",,SUMPRODUCT((Pipeline!E:E=$D7)*(Pipeline!F:F="Won")*(TEXT(Pipeline!I:I,"yyyy-mm")=$B$3)*Pipeline!G:G))</f>
        <v/>
      </c>
      <c r="G7" s="72" t="str">
        <f t="shared" si="1"/>
        <v/>
      </c>
      <c r="H7" s="74" t="s">
        <v>247</v>
      </c>
      <c r="I7" s="72" t="str">
        <f>SUMIFS(Inputs_Targets!B:B,Inputs_Targets!A:A,I7)</f>
        <v>#REF!</v>
      </c>
      <c r="J7" s="72" t="str">
        <f>SUMPRODUCT((Pipeline!F:F="Won")*(TEXT(Pipeline!I:I,"yyyy-mm")=I7)*Pipeline!G:G)</f>
        <v>#REF!</v>
      </c>
    </row>
    <row r="8" ht="22.5" customHeight="1">
      <c r="A8" s="70" t="s">
        <v>268</v>
      </c>
      <c r="B8" s="71">
        <f>B6-B5</f>
        <v>-1500000000</v>
      </c>
      <c r="C8" s="64"/>
      <c r="D8" s="64" t="str">
        <f>IFERROR(Helper!A5,"")</f>
        <v/>
      </c>
      <c r="E8" s="72" t="str">
        <f>IF($D8="",,SUMIFS(Inputs_Targets!D:D,Inputs_Targets!A:A,$B$3,Inputs_Targets!C:C,$D8))</f>
        <v/>
      </c>
      <c r="F8" s="72" t="str">
        <f>IF($D8="",,SUMPRODUCT((Pipeline!E:E=$D8)*(Pipeline!F:F="Won")*(TEXT(Pipeline!I:I,"yyyy-mm")=$B$3)*Pipeline!G:G))</f>
        <v/>
      </c>
      <c r="G8" s="72" t="str">
        <f t="shared" si="1"/>
        <v/>
      </c>
      <c r="H8" s="74" t="s">
        <v>248</v>
      </c>
      <c r="I8" s="72" t="str">
        <f>SUMIFS(Inputs_Targets!B:B,Inputs_Targets!A:A,I8)</f>
        <v>#REF!</v>
      </c>
      <c r="J8" s="72" t="str">
        <f>SUMPRODUCT((Pipeline!F:F="Won")*(TEXT(Pipeline!I:I,"yyyy-mm")=I8)*Pipeline!G:G)</f>
        <v>#REF!</v>
      </c>
    </row>
    <row r="9" ht="22.5" customHeight="1">
      <c r="A9" s="70" t="s">
        <v>269</v>
      </c>
      <c r="B9" s="71">
        <f>IFERROR(__xludf.DUMMYFUNCTION("IFERROR(SUM(FILTER(Pipeline!G:G,
  Pipeline!F:F&lt;&gt;""Won"",
  Pipeline!F:F&lt;&gt;""Lost""
)),0)
"),3.1787E9)</f>
        <v>3178700000</v>
      </c>
      <c r="C9" s="64"/>
      <c r="D9" s="64" t="str">
        <f>IFERROR(Helper!A6,"")</f>
        <v/>
      </c>
      <c r="E9" s="72" t="str">
        <f>IF($D9="",,SUMIFS(Inputs_Targets!D:D,Inputs_Targets!A:A,$B$3,Inputs_Targets!C:C,$D9))</f>
        <v/>
      </c>
      <c r="F9" s="72" t="str">
        <f>IF($D9="",,SUMPRODUCT((Pipeline!E:E=$D9)*(Pipeline!F:F="Won")*(TEXT(Pipeline!I:I,"yyyy-mm")=$B$3)*Pipeline!G:G))</f>
        <v/>
      </c>
      <c r="G9" s="72" t="str">
        <f t="shared" si="1"/>
        <v/>
      </c>
      <c r="H9" s="74" t="s">
        <v>249</v>
      </c>
      <c r="I9" s="72" t="str">
        <f>SUMIFS(Inputs_Targets!B:B,Inputs_Targets!A:A,I9)</f>
        <v>#REF!</v>
      </c>
      <c r="J9" s="72" t="str">
        <f>SUMPRODUCT((Pipeline!F:F="Won")*(TEXT(Pipeline!I:I,"yyyy-mm")=I9)*Pipeline!G:G)</f>
        <v>#REF!</v>
      </c>
    </row>
    <row r="10" ht="22.5" customHeight="1">
      <c r="A10" s="70" t="s">
        <v>270</v>
      </c>
      <c r="B10" s="70">
        <f>IFERROR(__xludf.DUMMYFUNCTION("IFERROR(COUNTA(FILTER(Pipeline!A:A,
  Pipeline!F:F&lt;&gt;""Won"",
  Pipeline!F:F&lt;&gt;""Lost""
)),0)
"),42.0)</f>
        <v>42</v>
      </c>
      <c r="C10" s="64"/>
      <c r="D10" s="64" t="str">
        <f>IFERROR(Helper!A7,"")</f>
        <v/>
      </c>
      <c r="E10" s="72" t="str">
        <f>IF($D10="",,SUMIFS(Inputs_Targets!D:D,Inputs_Targets!A:A,$B$3,Inputs_Targets!C:C,$D10))</f>
        <v/>
      </c>
      <c r="F10" s="72" t="str">
        <f>IF($D10="",,SUMPRODUCT((Pipeline!E:E=$D10)*(Pipeline!F:F="Won")*(TEXT(Pipeline!I:I,"yyyy-mm")=$B$3)*Pipeline!G:G))</f>
        <v/>
      </c>
      <c r="G10" s="72" t="str">
        <f t="shared" si="1"/>
        <v/>
      </c>
      <c r="H10" s="74" t="s">
        <v>250</v>
      </c>
      <c r="I10" s="72" t="str">
        <f>SUMIFS(Inputs_Targets!B:B,Inputs_Targets!A:A,I10)</f>
        <v>#REF!</v>
      </c>
      <c r="J10" s="72" t="str">
        <f>SUMPRODUCT((Pipeline!F:F="Won")*(TEXT(Pipeline!I:I,"yyyy-mm")=I10)*Pipeline!G:G)</f>
        <v>#REF!</v>
      </c>
    </row>
    <row r="11" ht="22.5" customHeight="1">
      <c r="A11" s="70" t="s">
        <v>271</v>
      </c>
      <c r="B11" s="75">
        <f>IFERROR(SUMPRODUCT((Pipeline!F:F="Won")*(Pipeline!I:I&gt;=TODAY()-90)) / SUMPRODUCT(((Pipeline!F:F="Won")+(Pipeline!F:F="Lost"))*(Pipeline!I:I&gt;=TODAY()-90)),0)</f>
        <v>0</v>
      </c>
      <c r="C11" s="64"/>
      <c r="D11" s="64" t="str">
        <f>IFERROR(Helper!A8,"")</f>
        <v/>
      </c>
      <c r="E11" s="72" t="str">
        <f>IF($D11="",,SUMIFS(Inputs_Targets!D:D,Inputs_Targets!A:A,$B$3,Inputs_Targets!C:C,$D11))</f>
        <v/>
      </c>
      <c r="F11" s="72" t="str">
        <f>IF($D11="",,SUMPRODUCT((Pipeline!E:E=$D11)*(Pipeline!F:F="Won")*(TEXT(Pipeline!I:I,"yyyy-mm")=$B$3)*Pipeline!G:G))</f>
        <v/>
      </c>
      <c r="G11" s="72" t="str">
        <f t="shared" si="1"/>
        <v/>
      </c>
      <c r="H11" s="74" t="s">
        <v>251</v>
      </c>
      <c r="I11" s="72" t="str">
        <f>SUMIFS(Inputs_Targets!B:B,Inputs_Targets!A:A,I11)</f>
        <v>#REF!</v>
      </c>
      <c r="J11" s="72" t="str">
        <f>SUMPRODUCT((Pipeline!F:F="Won")*(TEXT(Pipeline!I:I,"yyyy-mm")=I11)*Pipeline!G:G)</f>
        <v>#REF!</v>
      </c>
    </row>
    <row r="12" ht="22.5" customHeight="1">
      <c r="A12" s="70" t="s">
        <v>272</v>
      </c>
      <c r="B12" s="70">
        <f>IFERROR(AVERAGE(IF((Pipeline!F:F="Won")*(Pipeline!I:I&lt;&gt;"" )*(Pipeline!H:H&lt;&gt;""), Pipeline!I:I - Pipeline!H:H)), 0)</f>
        <v>0</v>
      </c>
      <c r="C12" s="64"/>
      <c r="D12" s="64" t="str">
        <f>IFERROR(Helper!A9,"")</f>
        <v/>
      </c>
      <c r="E12" s="72" t="str">
        <f>IF($D12="",,SUMIFS(Inputs_Targets!D:D,Inputs_Targets!A:A,$B$3,Inputs_Targets!C:C,$D12))</f>
        <v/>
      </c>
      <c r="F12" s="72" t="str">
        <f>IF($D12="",,SUMPRODUCT((Pipeline!E:E=$D12)*(Pipeline!F:F="Won")*(TEXT(Pipeline!I:I,"yyyy-mm")=$B$3)*Pipeline!G:G))</f>
        <v/>
      </c>
      <c r="G12" s="72" t="str">
        <f t="shared" si="1"/>
        <v/>
      </c>
      <c r="H12" s="74" t="str">
        <f t="shared" ref="H12:H24" si="2">IF($D12="",,IFERROR(F12/E12,0))</f>
        <v/>
      </c>
      <c r="I12" s="64"/>
      <c r="J12" s="64"/>
    </row>
    <row r="13">
      <c r="A13" s="64"/>
      <c r="B13" s="64"/>
      <c r="C13" s="64"/>
      <c r="D13" s="64" t="str">
        <f>IFERROR(Helper!A10,"")</f>
        <v/>
      </c>
      <c r="E13" s="72" t="str">
        <f>IF($D13="",,SUMIFS(Inputs_Targets!D:D,Inputs_Targets!A:A,$B$3,Inputs_Targets!C:C,$D13))</f>
        <v/>
      </c>
      <c r="F13" s="72" t="str">
        <f>IF($D13="",,SUMPRODUCT((Pipeline!E:E=$D13)*(Pipeline!F:F="Won")*(TEXT(Pipeline!I:I,"yyyy-mm")=$B$3)*Pipeline!G:G))</f>
        <v/>
      </c>
      <c r="G13" s="72" t="str">
        <f t="shared" si="1"/>
        <v/>
      </c>
      <c r="H13" s="74" t="str">
        <f t="shared" si="2"/>
        <v/>
      </c>
      <c r="I13" s="64"/>
      <c r="J13" s="64"/>
    </row>
    <row r="14">
      <c r="A14" s="64"/>
      <c r="B14" s="64"/>
      <c r="C14" s="64"/>
      <c r="D14" s="64" t="str">
        <f>IFERROR(Helper!A11,"")</f>
        <v/>
      </c>
      <c r="E14" s="72" t="str">
        <f>IF($D14="",,SUMIFS(Inputs_Targets!D:D,Inputs_Targets!A:A,$B$3,Inputs_Targets!C:C,$D14))</f>
        <v/>
      </c>
      <c r="F14" s="72" t="str">
        <f>IF($D14="",,SUMPRODUCT((Pipeline!E:E=$D14)*(Pipeline!F:F="Won")*(TEXT(Pipeline!I:I,"yyyy-mm")=$B$3)*Pipeline!G:G))</f>
        <v/>
      </c>
      <c r="G14" s="72" t="str">
        <f t="shared" si="1"/>
        <v/>
      </c>
      <c r="H14" s="74" t="str">
        <f t="shared" si="2"/>
        <v/>
      </c>
      <c r="I14" s="64"/>
      <c r="J14" s="64"/>
    </row>
    <row r="15">
      <c r="A15" s="64"/>
      <c r="B15" s="64"/>
      <c r="C15" s="64"/>
      <c r="D15" s="64" t="str">
        <f>IFERROR(Helper!A12,"")</f>
        <v/>
      </c>
      <c r="E15" s="72" t="str">
        <f>IF($D15="",,SUMIFS(Inputs_Targets!D:D,Inputs_Targets!A:A,$B$3,Inputs_Targets!C:C,$D15))</f>
        <v/>
      </c>
      <c r="F15" s="72" t="str">
        <f>IF($D15="",,SUMPRODUCT((Pipeline!E:E=$D15)*(Pipeline!F:F="Won")*(TEXT(Pipeline!I:I,"yyyy-mm")=$B$3)*Pipeline!G:G))</f>
        <v/>
      </c>
      <c r="G15" s="72" t="str">
        <f t="shared" si="1"/>
        <v/>
      </c>
      <c r="H15" s="74" t="str">
        <f t="shared" si="2"/>
        <v/>
      </c>
      <c r="I15" s="64"/>
      <c r="J15" s="64"/>
    </row>
    <row r="16">
      <c r="A16" s="64"/>
      <c r="B16" s="64"/>
      <c r="C16" s="64"/>
      <c r="D16" s="64" t="str">
        <f>IFERROR(Helper!A13,"")</f>
        <v/>
      </c>
      <c r="E16" s="72" t="str">
        <f>IF($D16="",,SUMIFS(Inputs_Targets!D:D,Inputs_Targets!A:A,$B$3,Inputs_Targets!C:C,$D16))</f>
        <v/>
      </c>
      <c r="F16" s="72" t="str">
        <f>IF($D16="",,SUMPRODUCT((Pipeline!E:E=$D16)*(Pipeline!F:F="Won")*(TEXT(Pipeline!I:I,"yyyy-mm")=$B$3)*Pipeline!G:G))</f>
        <v/>
      </c>
      <c r="G16" s="72" t="str">
        <f t="shared" si="1"/>
        <v/>
      </c>
      <c r="H16" s="74" t="str">
        <f t="shared" si="2"/>
        <v/>
      </c>
      <c r="I16" s="64"/>
      <c r="J16" s="64"/>
    </row>
    <row r="17">
      <c r="A17" s="64"/>
      <c r="B17" s="64"/>
      <c r="C17" s="64"/>
      <c r="D17" s="64" t="str">
        <f>IFERROR(Helper!A14,"")</f>
        <v/>
      </c>
      <c r="E17" s="72" t="str">
        <f>IF($D17="",,SUMIFS(Inputs_Targets!D:D,Inputs_Targets!A:A,$B$3,Inputs_Targets!C:C,$D17))</f>
        <v/>
      </c>
      <c r="F17" s="72" t="str">
        <f>IF($D17="",,SUMPRODUCT((Pipeline!E:E=$D17)*(Pipeline!F:F="Won")*(TEXT(Pipeline!I:I,"yyyy-mm")=$B$3)*Pipeline!G:G))</f>
        <v/>
      </c>
      <c r="G17" s="72" t="str">
        <f t="shared" si="1"/>
        <v/>
      </c>
      <c r="H17" s="74" t="str">
        <f t="shared" si="2"/>
        <v/>
      </c>
      <c r="I17" s="64"/>
      <c r="J17" s="64"/>
    </row>
    <row r="18">
      <c r="A18" s="64"/>
      <c r="B18" s="64"/>
      <c r="C18" s="64"/>
      <c r="D18" s="64" t="str">
        <f>IFERROR(Helper!A15,"")</f>
        <v/>
      </c>
      <c r="E18" s="72" t="str">
        <f>IF($D18="",,SUMIFS(Inputs_Targets!D:D,Inputs_Targets!A:A,$B$3,Inputs_Targets!C:C,$D18))</f>
        <v/>
      </c>
      <c r="F18" s="72" t="str">
        <f>IF($D18="",,SUMPRODUCT((Pipeline!E:E=$D18)*(Pipeline!F:F="Won")*(TEXT(Pipeline!I:I,"yyyy-mm")=$B$3)*Pipeline!G:G))</f>
        <v/>
      </c>
      <c r="G18" s="72" t="str">
        <f t="shared" si="1"/>
        <v/>
      </c>
      <c r="H18" s="74" t="str">
        <f t="shared" si="2"/>
        <v/>
      </c>
      <c r="I18" s="64"/>
      <c r="J18" s="64"/>
    </row>
    <row r="19">
      <c r="A19" s="64"/>
      <c r="B19" s="64"/>
      <c r="C19" s="64"/>
      <c r="D19" s="64" t="str">
        <f>IFERROR(Helper!A16,"")</f>
        <v/>
      </c>
      <c r="E19" s="72" t="str">
        <f>IF($D19="",,SUMIFS(Inputs_Targets!D:D,Inputs_Targets!A:A,$B$3,Inputs_Targets!C:C,$D19))</f>
        <v/>
      </c>
      <c r="F19" s="72" t="str">
        <f>IF($D19="",,SUMPRODUCT((Pipeline!E:E=$D19)*(Pipeline!F:F="Won")*(TEXT(Pipeline!I:I,"yyyy-mm")=$B$3)*Pipeline!G:G))</f>
        <v/>
      </c>
      <c r="G19" s="72" t="str">
        <f t="shared" si="1"/>
        <v/>
      </c>
      <c r="H19" s="74" t="str">
        <f t="shared" si="2"/>
        <v/>
      </c>
      <c r="I19" s="64"/>
      <c r="J19" s="64"/>
    </row>
    <row r="20">
      <c r="A20" s="64"/>
      <c r="B20" s="64"/>
      <c r="C20" s="64"/>
      <c r="D20" s="64" t="str">
        <f>IFERROR(Helper!A17,"")</f>
        <v/>
      </c>
      <c r="E20" s="72" t="str">
        <f>IF($D20="",,SUMIFS(Inputs_Targets!D:D,Inputs_Targets!A:A,$B$3,Inputs_Targets!C:C,$D20))</f>
        <v/>
      </c>
      <c r="F20" s="72" t="str">
        <f>IF($D20="",,SUMPRODUCT((Pipeline!E:E=$D20)*(Pipeline!F:F="Won")*(TEXT(Pipeline!I:I,"yyyy-mm")=$B$3)*Pipeline!G:G))</f>
        <v/>
      </c>
      <c r="G20" s="72" t="str">
        <f t="shared" si="1"/>
        <v/>
      </c>
      <c r="H20" s="74" t="str">
        <f t="shared" si="2"/>
        <v/>
      </c>
      <c r="I20" s="64"/>
      <c r="J20" s="64"/>
    </row>
    <row r="21" ht="15.75" customHeight="1">
      <c r="A21" s="64"/>
      <c r="B21" s="64"/>
      <c r="C21" s="64"/>
      <c r="D21" s="64" t="str">
        <f>IFERROR(Helper!A18,"")</f>
        <v/>
      </c>
      <c r="E21" s="72" t="str">
        <f>IF($D21="",,SUMIFS(Inputs_Targets!D:D,Inputs_Targets!A:A,$B$3,Inputs_Targets!C:C,$D21))</f>
        <v/>
      </c>
      <c r="F21" s="72" t="str">
        <f>IF($D21="",,SUMPRODUCT((Pipeline!E:E=$D21)*(Pipeline!F:F="Won")*(TEXT(Pipeline!I:I,"yyyy-mm")=$B$3)*Pipeline!G:G))</f>
        <v/>
      </c>
      <c r="G21" s="72" t="str">
        <f t="shared" si="1"/>
        <v/>
      </c>
      <c r="H21" s="74" t="str">
        <f t="shared" si="2"/>
        <v/>
      </c>
      <c r="I21" s="64"/>
      <c r="J21" s="64"/>
    </row>
    <row r="22" ht="15.75" customHeight="1">
      <c r="A22" s="64"/>
      <c r="B22" s="64"/>
      <c r="C22" s="64"/>
      <c r="D22" s="64" t="str">
        <f>IFERROR(Helper!A19,"")</f>
        <v/>
      </c>
      <c r="E22" s="72" t="str">
        <f>IF($D22="",,SUMIFS(Inputs_Targets!D:D,Inputs_Targets!A:A,$B$3,Inputs_Targets!C:C,$D22))</f>
        <v/>
      </c>
      <c r="F22" s="72" t="str">
        <f>IF($D22="",,SUMPRODUCT((Pipeline!E:E=$D22)*(Pipeline!F:F="Won")*(TEXT(Pipeline!I:I,"yyyy-mm")=$B$3)*Pipeline!G:G))</f>
        <v/>
      </c>
      <c r="G22" s="72" t="str">
        <f t="shared" si="1"/>
        <v/>
      </c>
      <c r="H22" s="74" t="str">
        <f t="shared" si="2"/>
        <v/>
      </c>
      <c r="I22" s="64"/>
      <c r="J22" s="64"/>
    </row>
    <row r="23" ht="15.75" customHeight="1">
      <c r="A23" s="64"/>
      <c r="B23" s="64"/>
      <c r="C23" s="64"/>
      <c r="D23" s="64" t="str">
        <f>IFERROR(Helper!A20,"")</f>
        <v/>
      </c>
      <c r="E23" s="72" t="str">
        <f>IF($D23="",,SUMIFS(Inputs_Targets!D:D,Inputs_Targets!A:A,$B$3,Inputs_Targets!C:C,$D23))</f>
        <v/>
      </c>
      <c r="F23" s="72" t="str">
        <f>IF($D23="",,SUMPRODUCT((Pipeline!E:E=$D23)*(Pipeline!F:F="Won")*(TEXT(Pipeline!I:I,"yyyy-mm")=$B$3)*Pipeline!G:G))</f>
        <v/>
      </c>
      <c r="G23" s="72" t="str">
        <f t="shared" si="1"/>
        <v/>
      </c>
      <c r="H23" s="74" t="str">
        <f t="shared" si="2"/>
        <v/>
      </c>
      <c r="I23" s="64"/>
      <c r="J23" s="64"/>
    </row>
    <row r="24" ht="15.75" customHeight="1">
      <c r="A24" s="64"/>
      <c r="B24" s="64"/>
      <c r="C24" s="64"/>
      <c r="D24" s="64" t="str">
        <f>IFERROR(Helper!A21,"")</f>
        <v/>
      </c>
      <c r="E24" s="72" t="str">
        <f>IF($D24="",,SUMIFS(Inputs_Targets!D:D,Inputs_Targets!A:A,$B$3,Inputs_Targets!C:C,$D24))</f>
        <v/>
      </c>
      <c r="F24" s="72" t="str">
        <f>IF($D24="",,SUMPRODUCT((Pipeline!E:E=$D24)*(Pipeline!F:F="Won")*(TEXT(Pipeline!I:I,"yyyy-mm")=$B$3)*Pipeline!G:G))</f>
        <v/>
      </c>
      <c r="G24" s="72" t="str">
        <f t="shared" si="1"/>
        <v/>
      </c>
      <c r="H24" s="74" t="str">
        <f t="shared" si="2"/>
        <v/>
      </c>
      <c r="I24" s="64"/>
      <c r="J24" s="6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6" t="s">
        <v>273</v>
      </c>
    </row>
    <row r="2">
      <c r="A2" s="77" t="str">
        <f>IFERROR(__xludf.DUMMYFUNCTION("SORT(UNIQUE(FILTER(Inputs_Targets!C:C,Inputs_Targets!C:C&lt;&gt;"""")))"),"GERRY")</f>
        <v>GERRY</v>
      </c>
    </row>
    <row r="3">
      <c r="A3" s="77" t="str">
        <f>IFERROR(__xludf.DUMMYFUNCTION("""COMPUTED_VALUE"""),"Salesperson")</f>
        <v>Salesperson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