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Micro" sheetId="1" r:id="rId5"/>
    <sheet state="visible" name="Approved" sheetId="2" r:id="rId6"/>
  </sheets>
  <definedNames/>
  <calcPr/>
</workbook>
</file>

<file path=xl/sharedStrings.xml><?xml version="1.0" encoding="utf-8"?>
<sst xmlns="http://schemas.openxmlformats.org/spreadsheetml/2006/main" count="494" uniqueCount="149">
  <si>
    <t>MEDIA PLAN - Masters of the Universe</t>
  </si>
  <si>
    <t>No</t>
  </si>
  <si>
    <t>PIC</t>
  </si>
  <si>
    <t>Status</t>
  </si>
  <si>
    <t>Username</t>
  </si>
  <si>
    <t>Link</t>
  </si>
  <si>
    <t>Channel</t>
  </si>
  <si>
    <t>Categories</t>
  </si>
  <si>
    <t>Followers</t>
  </si>
  <si>
    <t>Tier</t>
  </si>
  <si>
    <t>ER %</t>
  </si>
  <si>
    <t xml:space="preserve">Avg Views </t>
  </si>
  <si>
    <t>Engagement</t>
  </si>
  <si>
    <t>Scope of Work</t>
  </si>
  <si>
    <t>Rate</t>
  </si>
  <si>
    <t>TOP</t>
  </si>
  <si>
    <t>DOM</t>
  </si>
  <si>
    <t>Notes</t>
  </si>
  <si>
    <t>Subtotal Rate</t>
  </si>
  <si>
    <t>Gross Up PPH Coefficient</t>
  </si>
  <si>
    <t>Tax</t>
  </si>
  <si>
    <r>
      <rPr>
        <rFont val="Arial"/>
        <b/>
        <color rgb="FFFFFFFF"/>
        <sz val="10.0"/>
      </rPr>
      <t>MU PPh</t>
    </r>
    <r>
      <rPr>
        <rFont val="Arial"/>
        <b/>
        <color rgb="FFFFFFFF"/>
        <sz val="10.0"/>
      </rPr>
      <t>*</t>
    </r>
  </si>
  <si>
    <r>
      <rPr>
        <rFont val="Arial"/>
        <b/>
        <color rgb="FFFFFFFF"/>
        <sz val="10.0"/>
      </rPr>
      <t>MU</t>
    </r>
    <r>
      <rPr>
        <rFont val="Arial"/>
        <b/>
        <color rgb="FFFFFFFF"/>
        <sz val="10.0"/>
      </rPr>
      <t>**</t>
    </r>
  </si>
  <si>
    <r>
      <rPr>
        <rFont val="Arial"/>
        <b/>
        <color rgb="FFFFFFFF"/>
        <sz val="10.0"/>
      </rPr>
      <t>Published Rate</t>
    </r>
    <r>
      <rPr>
        <rFont val="Arial"/>
        <b/>
        <color rgb="FFFFFFFF"/>
        <sz val="10.0"/>
      </rPr>
      <t>***</t>
    </r>
  </si>
  <si>
    <t>Rounded</t>
  </si>
  <si>
    <t>Margin %</t>
  </si>
  <si>
    <t>Request Client</t>
  </si>
  <si>
    <t>Qty</t>
  </si>
  <si>
    <t>Item</t>
  </si>
  <si>
    <t>Aliy</t>
  </si>
  <si>
    <t>Approved by Client</t>
  </si>
  <si>
    <t>adifi_</t>
  </si>
  <si>
    <t>www.tiktok.com/@adifi_</t>
  </si>
  <si>
    <t>TikTok</t>
  </si>
  <si>
    <t>Movie Reviewer</t>
  </si>
  <si>
    <t>1x TikTok Video
Visit to The Breeze, BSD City</t>
  </si>
  <si>
    <t>BSD City</t>
  </si>
  <si>
    <t>TT Video</t>
  </si>
  <si>
    <t>Event attendance</t>
  </si>
  <si>
    <t>Need Confirmation</t>
  </si>
  <si>
    <t>ilhahoam</t>
  </si>
  <si>
    <t>www.tiktok.com/@ilhahoam1</t>
  </si>
  <si>
    <t>Included</t>
  </si>
  <si>
    <t>Unavail</t>
  </si>
  <si>
    <t>kadin5s</t>
  </si>
  <si>
    <t>www.tiktok.com/@kadin5s</t>
  </si>
  <si>
    <t>Jakarta Timur</t>
  </si>
  <si>
    <t>winnerizky</t>
  </si>
  <si>
    <t>https://www.tiktok.com/@winnerizky</t>
  </si>
  <si>
    <t>re.sireview.film</t>
  </si>
  <si>
    <t>https://www.tiktok.com/@re.sireview.film</t>
  </si>
  <si>
    <t>included</t>
  </si>
  <si>
    <t>Approaching</t>
  </si>
  <si>
    <t>intantan41</t>
  </si>
  <si>
    <t>www.tiktok.com/@intantan41</t>
  </si>
  <si>
    <t>Make Up Artist</t>
  </si>
  <si>
    <t>gelardino99</t>
  </si>
  <si>
    <t>www.tiktok.com/@gelardino99</t>
  </si>
  <si>
    <t>Cosplayer</t>
  </si>
  <si>
    <t>Semarang</t>
  </si>
  <si>
    <t>include visit</t>
  </si>
  <si>
    <t>Accomodation &amp; Transportation reimbursement dari Semarang</t>
  </si>
  <si>
    <t>Transportation Fee</t>
  </si>
  <si>
    <t>Replied</t>
  </si>
  <si>
    <t>notthatwit</t>
  </si>
  <si>
    <t>www.tiktok.com/@bukanawit</t>
  </si>
  <si>
    <t>Jakarta Pusat</t>
  </si>
  <si>
    <t>MUA + VFX editting</t>
  </si>
  <si>
    <t>Extra Charge</t>
  </si>
  <si>
    <t>per 4 jam</t>
  </si>
  <si>
    <t>eonni.elma</t>
  </si>
  <si>
    <t>www.tiktok.com/@eonni.elma</t>
  </si>
  <si>
    <t>Depok</t>
  </si>
  <si>
    <t>lindafebrianaaa</t>
  </si>
  <si>
    <t>www.tiktok.com/@lindafebrianaaa</t>
  </si>
  <si>
    <t>rifkyprasodjo</t>
  </si>
  <si>
    <t>www.tiktok.com/@rifkyprasodjo</t>
  </si>
  <si>
    <t>Jakarta Selatan</t>
  </si>
  <si>
    <t>woodcocktv</t>
  </si>
  <si>
    <t>www.tiktok.com/@woodcocktv</t>
  </si>
  <si>
    <t>ombewokreviewer</t>
  </si>
  <si>
    <t>www.tiktok.com/@ombewokreviewer</t>
  </si>
  <si>
    <t>inc. gala premier</t>
  </si>
  <si>
    <t>uang transportasi, negotiable</t>
  </si>
  <si>
    <t>ramsest00</t>
  </si>
  <si>
    <t>www.tiktok.com/@ramsest00</t>
  </si>
  <si>
    <t>Comedy</t>
  </si>
  <si>
    <t>Pondok Aren, Tangerang Selatan</t>
  </si>
  <si>
    <t>30 May not available 
3-5 Juni not available, ada shooting di pulau</t>
  </si>
  <si>
    <t>branovams</t>
  </si>
  <si>
    <t>www.tiktok.com/@branovams</t>
  </si>
  <si>
    <t>hanya share rekening saja</t>
  </si>
  <si>
    <t>Bekasi</t>
  </si>
  <si>
    <t>cornella_oct</t>
  </si>
  <si>
    <t>tiktok.com/@cornellaoct</t>
  </si>
  <si>
    <t>Inc. Mirror IG Reels + Repost Story</t>
  </si>
  <si>
    <t>additional fee untuk transport (+1 pendamping) &amp; akomodasi</t>
  </si>
  <si>
    <t>_alikaalyyy</t>
  </si>
  <si>
    <t>PIK 2, Jakarta Utara</t>
  </si>
  <si>
    <t>Perkiraan transportation berangkat, exc. toll</t>
  </si>
  <si>
    <t>gallent_dave</t>
  </si>
  <si>
    <t>https://www.tiktok.com/@gallent_dave</t>
  </si>
  <si>
    <t>Yogyakarta</t>
  </si>
  <si>
    <t>Inc. Mirror IG Reels</t>
  </si>
  <si>
    <t>exc. transport &amp; akomodasi, Bonus IG Reels, Story</t>
  </si>
  <si>
    <t>marucatfamily</t>
  </si>
  <si>
    <t>https://www.tiktok.com/@marucatfamily</t>
  </si>
  <si>
    <t>Pet Content Creator</t>
  </si>
  <si>
    <t>Bandung</t>
  </si>
  <si>
    <t>Visit Jabodetabek</t>
  </si>
  <si>
    <t>Salwa</t>
  </si>
  <si>
    <t>Khoyrunnisa Budiasih</t>
  </si>
  <si>
    <t>https://www.tiktok.com/@khoyrunnisabudiasih14?_r=1&amp;_t=ZS-9572p1t0RyH</t>
  </si>
  <si>
    <t>Bapak-bapak</t>
  </si>
  <si>
    <t>h+7 After Posting</t>
  </si>
  <si>
    <t>CV Non PKP</t>
  </si>
  <si>
    <t>Yrkartoyo</t>
  </si>
  <si>
    <t>https://www.tiktok.com/@yrkartoyo?_r=1&amp;_t=ZS-9572hbLxkiT</t>
  </si>
  <si>
    <t>Pribadi</t>
  </si>
  <si>
    <t>Tidak visit</t>
  </si>
  <si>
    <t>Felix Sudjiman</t>
  </si>
  <si>
    <t>https://www.tiktok.com/@felvel817?_r=1&amp;_t=ZS-94hWPX7Lkd3</t>
  </si>
  <si>
    <r>
      <rPr>
        <rFont val="Arial"/>
        <color theme="1"/>
      </rPr>
      <t xml:space="preserve">h+7 After Posting
</t>
    </r>
    <r>
      <rPr>
        <rFont val="Arial"/>
        <b/>
        <color theme="1"/>
      </rPr>
      <t>nego H+14 After posting</t>
    </r>
  </si>
  <si>
    <t>Thalia POV istri dokter</t>
  </si>
  <si>
    <t>https://www.tiktok.com/@josephinethaliaa?_r=1&amp;_t=ZS-94hT6sNxs5l</t>
  </si>
  <si>
    <t>Ahyaruzan</t>
  </si>
  <si>
    <t>https://www.tiktok.com/@mr.coyk?_r=1&amp;_t=ZS-94kwVtXjR4f</t>
  </si>
  <si>
    <t>Flying soumen</t>
  </si>
  <si>
    <t>tiktok.com/@flyingsoumen</t>
  </si>
  <si>
    <t>Zia</t>
  </si>
  <si>
    <t>tiktok.com/@zia_knypov</t>
  </si>
  <si>
    <t>Enz d Yeager</t>
  </si>
  <si>
    <t>tiktok.com/@enzd.yeager</t>
  </si>
  <si>
    <t>Red</t>
  </si>
  <si>
    <t>tiktok.com/@knocksonheavensdoor</t>
  </si>
  <si>
    <t>Joshua Steven</t>
  </si>
  <si>
    <t>https://www.tiktok.com/@joshuasteven_</t>
  </si>
  <si>
    <t>Nyakweterus</t>
  </si>
  <si>
    <t>https://www.tiktok.com/@nyakweterus_</t>
  </si>
  <si>
    <t>Haikal Ken</t>
  </si>
  <si>
    <t>https://www.tiktok.com/@pemudark</t>
  </si>
  <si>
    <t>Freaky Faade</t>
  </si>
  <si>
    <t>https://www.tiktok.com/@freaky.tricky</t>
  </si>
  <si>
    <t>Louisa and floren</t>
  </si>
  <si>
    <t>https://www.tiktok.com/@louisandfloren</t>
  </si>
  <si>
    <r>
      <rPr>
        <rFont val="Arial"/>
        <b/>
        <color rgb="FFFFFFFF"/>
        <sz val="10.0"/>
      </rPr>
      <t>MU PPh</t>
    </r>
    <r>
      <rPr>
        <rFont val="Arial"/>
        <b/>
        <color rgb="FFFFFFFF"/>
        <sz val="10.0"/>
      </rPr>
      <t>*</t>
    </r>
  </si>
  <si>
    <r>
      <rPr>
        <rFont val="Arial"/>
        <b/>
        <color rgb="FFFFFFFF"/>
        <sz val="10.0"/>
      </rPr>
      <t>MU</t>
    </r>
    <r>
      <rPr>
        <rFont val="Arial"/>
        <b/>
        <color rgb="FFFFFFFF"/>
        <sz val="10.0"/>
      </rPr>
      <t>**</t>
    </r>
  </si>
  <si>
    <r>
      <rPr>
        <rFont val="Arial"/>
        <b/>
        <color rgb="FFFFFFFF"/>
        <sz val="10.0"/>
      </rPr>
      <t>Published Rate</t>
    </r>
    <r>
      <rPr>
        <rFont val="Arial"/>
        <b/>
        <color rgb="FFFFFFFF"/>
        <sz val="10.0"/>
      </rPr>
      <t>***</t>
    </r>
  </si>
  <si>
    <r>
      <rPr>
        <rFont val="Arial"/>
        <color theme="1"/>
      </rPr>
      <t xml:space="preserve">h+7 After Posting
</t>
    </r>
    <r>
      <rPr>
        <rFont val="Arial"/>
        <b/>
        <color theme="1"/>
      </rPr>
      <t>nego H+14 After posting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</si>
</sst>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#,##0_);[Red](#,##0)"/>
    <numFmt numFmtId="166" formatCode="#,##0;(#,##0)"/>
  </numFmts>
  <fonts count="25">
    <font>
      <sz val="10.0"/>
      <color rgb="FF000000"/>
      <name val="Arial"/>
      <scheme val="minor"/>
    </font>
    <font>
      <b/>
      <sz val="15.0"/>
      <color rgb="FFFFFF00"/>
      <name val="Arial"/>
    </font>
    <font>
      <b/>
      <color rgb="FFFFFF00"/>
      <name val="Arial"/>
    </font>
    <font>
      <b/>
      <color rgb="FFFFFFFF"/>
      <name val="Arial"/>
    </font>
    <font>
      <b/>
      <color rgb="FF000000"/>
      <name val="Arial"/>
    </font>
    <font/>
    <font>
      <b/>
      <color theme="1"/>
      <name val="Arial"/>
    </font>
    <font>
      <color theme="1"/>
      <name val="Arial"/>
    </font>
    <font>
      <u/>
      <color rgb="FF0000FF"/>
    </font>
    <font>
      <sz val="10.0"/>
      <color theme="1"/>
      <name val="Arial"/>
    </font>
    <font>
      <color rgb="FF5B0F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sz val="11.0"/>
      <color rgb="FF1155CC"/>
      <name val="Proxima Nova"/>
    </font>
    <font>
      <sz val="11.0"/>
      <color theme="1"/>
      <name val="Proxima Nova"/>
    </font>
    <font>
      <u/>
      <sz val="9.0"/>
      <color rgb="FF1155CC"/>
      <name val="Plus Jakarta Sans"/>
    </font>
    <font>
      <sz val="9.0"/>
      <color theme="1"/>
      <name val="Plus Jakarta Sans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</fills>
  <borders count="17">
    <border/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4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2" fillId="2" fontId="2" numFmtId="3" xfId="0" applyAlignment="1" applyBorder="1" applyFont="1" applyNumberFormat="1">
      <alignment horizontal="center" vertical="center"/>
    </xf>
    <xf borderId="3" fillId="2" fontId="2" numFmtId="3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vertical="center"/>
    </xf>
    <xf borderId="5" fillId="2" fontId="1" numFmtId="0" xfId="0" applyAlignment="1" applyBorder="1" applyFont="1">
      <alignment horizontal="left" readingOrder="0" shrinkToFit="0" vertical="center" wrapText="1"/>
    </xf>
    <xf borderId="5" fillId="2" fontId="1" numFmtId="4" xfId="0" applyAlignment="1" applyBorder="1" applyFont="1" applyNumberForma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5" fillId="2" fontId="2" numFmtId="3" xfId="0" applyAlignment="1" applyBorder="1" applyFont="1" applyNumberFormat="1">
      <alignment horizontal="center" vertical="center"/>
    </xf>
    <xf borderId="6" fillId="2" fontId="2" numFmtId="3" xfId="0" applyAlignment="1" applyBorder="1" applyFont="1" applyNumberFormat="1">
      <alignment horizontal="center" vertical="center"/>
    </xf>
    <xf borderId="7" fillId="3" fontId="3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7" fillId="4" fontId="4" numFmtId="0" xfId="0" applyAlignment="1" applyBorder="1" applyFont="1">
      <alignment horizontal="center" shrinkToFit="0" vertical="center" wrapText="1"/>
    </xf>
    <xf borderId="7" fillId="4" fontId="4" numFmtId="3" xfId="0" applyAlignment="1" applyBorder="1" applyFont="1" applyNumberFormat="1">
      <alignment horizontal="center" vertical="center"/>
    </xf>
    <xf borderId="7" fillId="4" fontId="4" numFmtId="3" xfId="0" applyAlignment="1" applyBorder="1" applyFont="1" applyNumberFormat="1">
      <alignment horizontal="center" shrinkToFit="0" vertical="center" wrapText="1"/>
    </xf>
    <xf borderId="7" fillId="3" fontId="3" numFmtId="10" xfId="0" applyAlignment="1" applyBorder="1" applyFont="1" applyNumberFormat="1">
      <alignment horizontal="center" vertical="center"/>
    </xf>
    <xf borderId="8" fillId="3" fontId="3" numFmtId="0" xfId="0" applyAlignment="1" applyBorder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7" fillId="3" fontId="3" numFmtId="3" xfId="0" applyAlignment="1" applyBorder="1" applyFont="1" applyNumberFormat="1">
      <alignment horizontal="center" vertical="center"/>
    </xf>
    <xf borderId="7" fillId="4" fontId="6" numFmtId="0" xfId="0" applyAlignment="1" applyBorder="1" applyFont="1">
      <alignment horizontal="center" readingOrder="0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vertical="center"/>
    </xf>
    <xf borderId="8" fillId="4" fontId="4" numFmtId="3" xfId="0" applyAlignment="1" applyBorder="1" applyFont="1" applyNumberFormat="1">
      <alignment horizontal="center" vertical="center"/>
    </xf>
    <xf borderId="7" fillId="3" fontId="3" numFmtId="4" xfId="0" applyAlignment="1" applyBorder="1" applyFont="1" applyNumberFormat="1">
      <alignment horizontal="center" shrinkToFit="0" vertical="center" wrapText="1"/>
    </xf>
    <xf borderId="7" fillId="6" fontId="3" numFmtId="3" xfId="0" applyAlignment="1" applyBorder="1" applyFill="1" applyFont="1" applyNumberFormat="1">
      <alignment horizontal="center" vertical="center"/>
    </xf>
    <xf borderId="11" fillId="0" fontId="5" numFmtId="0" xfId="0" applyBorder="1" applyFont="1"/>
    <xf borderId="12" fillId="3" fontId="3" numFmtId="0" xfId="0" applyAlignment="1" applyBorder="1" applyFont="1">
      <alignment horizontal="center" readingOrder="0" vertical="center"/>
    </xf>
    <xf borderId="12" fillId="3" fontId="3" numFmtId="0" xfId="0" applyAlignment="1" applyBorder="1" applyFont="1">
      <alignment horizontal="center" vertical="center"/>
    </xf>
    <xf borderId="12" fillId="3" fontId="3" numFmtId="0" xfId="0" applyAlignment="1" applyBorder="1" applyFont="1">
      <alignment horizontal="center" shrinkToFit="0" vertical="center" wrapText="1"/>
    </xf>
    <xf borderId="12" fillId="4" fontId="4" numFmtId="3" xfId="0" applyAlignment="1" applyBorder="1" applyFont="1" applyNumberFormat="1">
      <alignment horizontal="center" vertical="center"/>
    </xf>
    <xf borderId="12" fillId="4" fontId="4" numFmtId="3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readingOrder="0" vertical="center"/>
    </xf>
    <xf borderId="7" fillId="0" fontId="7" numFmtId="164" xfId="0" applyAlignment="1" applyBorder="1" applyFont="1" applyNumberFormat="1">
      <alignment horizontal="center" readingOrder="0" vertical="center"/>
    </xf>
    <xf borderId="7" fillId="0" fontId="7" numFmtId="164" xfId="0" applyAlignment="1" applyBorder="1" applyFont="1" applyNumberFormat="1">
      <alignment readingOrder="0" shrinkToFit="0" vertical="center" wrapText="1"/>
    </xf>
    <xf borderId="7" fillId="0" fontId="7" numFmtId="0" xfId="0" applyAlignment="1" applyBorder="1" applyFont="1">
      <alignment horizontal="left" readingOrder="0" vertical="center"/>
    </xf>
    <xf borderId="7" fillId="0" fontId="8" numFmtId="0" xfId="0" applyAlignment="1" applyBorder="1" applyFont="1">
      <alignment horizontal="left" readingOrder="0" shrinkToFit="0" vertical="center" wrapText="1"/>
    </xf>
    <xf borderId="7" fillId="0" fontId="7" numFmtId="3" xfId="0" applyAlignment="1" applyBorder="1" applyFont="1" applyNumberFormat="1">
      <alignment horizontal="center" readingOrder="0" shrinkToFit="0" vertical="center" wrapText="1"/>
    </xf>
    <xf borderId="7" fillId="0" fontId="7" numFmtId="3" xfId="0" applyAlignment="1" applyBorder="1" applyFont="1" applyNumberFormat="1">
      <alignment horizontal="center" readingOrder="0" vertical="center"/>
    </xf>
    <xf borderId="7" fillId="0" fontId="7" numFmtId="3" xfId="0" applyAlignment="1" applyBorder="1" applyFont="1" applyNumberFormat="1">
      <alignment horizontal="center" vertical="center"/>
    </xf>
    <xf borderId="7" fillId="0" fontId="7" numFmtId="10" xfId="0" applyAlignment="1" applyBorder="1" applyFont="1" applyNumberFormat="1">
      <alignment horizontal="center" vertical="center"/>
    </xf>
    <xf borderId="7" fillId="0" fontId="7" numFmtId="165" xfId="0" applyAlignment="1" applyBorder="1" applyFont="1" applyNumberFormat="1">
      <alignment horizontal="center" readingOrder="0" vertical="center"/>
    </xf>
    <xf borderId="7" fillId="0" fontId="7" numFmtId="165" xfId="0" applyAlignment="1" applyBorder="1" applyFont="1" applyNumberFormat="1">
      <alignment horizontal="center" vertical="center"/>
    </xf>
    <xf borderId="7" fillId="5" fontId="9" numFmtId="165" xfId="0" applyAlignment="1" applyBorder="1" applyFont="1" applyNumberFormat="1">
      <alignment readingOrder="0" shrinkToFit="0" vertical="center" wrapText="1"/>
    </xf>
    <xf borderId="12" fillId="5" fontId="7" numFmtId="3" xfId="0" applyAlignment="1" applyBorder="1" applyFont="1" applyNumberFormat="1">
      <alignment horizontal="center" vertical="center"/>
    </xf>
    <xf borderId="12" fillId="5" fontId="7" numFmtId="3" xfId="0" applyAlignment="1" applyBorder="1" applyFont="1" applyNumberFormat="1">
      <alignment shrinkToFit="0" vertical="center" wrapText="1"/>
    </xf>
    <xf borderId="12" fillId="0" fontId="7" numFmtId="3" xfId="0" applyAlignment="1" applyBorder="1" applyFont="1" applyNumberFormat="1">
      <alignment horizontal="right" vertical="center"/>
    </xf>
    <xf borderId="12" fillId="0" fontId="7" numFmtId="3" xfId="0" applyAlignment="1" applyBorder="1" applyFont="1" applyNumberFormat="1">
      <alignment vertical="center"/>
    </xf>
    <xf borderId="7" fillId="0" fontId="7" numFmtId="3" xfId="0" applyAlignment="1" applyBorder="1" applyFont="1" applyNumberFormat="1">
      <alignment readingOrder="0" vertical="center"/>
    </xf>
    <xf borderId="12" fillId="0" fontId="7" numFmtId="3" xfId="0" applyAlignment="1" applyBorder="1" applyFont="1" applyNumberFormat="1">
      <alignment readingOrder="0" vertical="center"/>
    </xf>
    <xf borderId="0" fillId="0" fontId="7" numFmtId="0" xfId="0" applyAlignment="1" applyFont="1">
      <alignment vertical="center"/>
    </xf>
    <xf borderId="12" fillId="7" fontId="7" numFmtId="3" xfId="0" applyAlignment="1" applyBorder="1" applyFill="1" applyFont="1" applyNumberFormat="1">
      <alignment horizontal="center" vertical="center"/>
    </xf>
    <xf borderId="12" fillId="7" fontId="7" numFmtId="166" xfId="0" applyAlignment="1" applyBorder="1" applyFont="1" applyNumberFormat="1">
      <alignment readingOrder="0" vertical="center"/>
    </xf>
    <xf borderId="12" fillId="7" fontId="7" numFmtId="3" xfId="0" applyAlignment="1" applyBorder="1" applyFont="1" applyNumberFormat="1">
      <alignment horizontal="right" readingOrder="0" vertical="center"/>
    </xf>
    <xf borderId="12" fillId="7" fontId="7" numFmtId="4" xfId="0" applyAlignment="1" applyBorder="1" applyFont="1" applyNumberFormat="1">
      <alignment horizontal="center" shrinkToFit="0" vertical="center" wrapText="1"/>
    </xf>
    <xf borderId="12" fillId="7" fontId="7" numFmtId="9" xfId="0" applyAlignment="1" applyBorder="1" applyFont="1" applyNumberFormat="1">
      <alignment horizontal="center" shrinkToFit="0" vertical="center" wrapText="1"/>
    </xf>
    <xf borderId="12" fillId="7" fontId="7" numFmtId="166" xfId="0" applyAlignment="1" applyBorder="1" applyFont="1" applyNumberFormat="1">
      <alignment horizontal="right" shrinkToFit="0" vertical="center" wrapText="1"/>
    </xf>
    <xf borderId="12" fillId="7" fontId="10" numFmtId="10" xfId="0" applyAlignment="1" applyBorder="1" applyFont="1" applyNumberFormat="1">
      <alignment horizontal="right" shrinkToFit="0" vertical="center" wrapText="1"/>
    </xf>
    <xf borderId="13" fillId="0" fontId="5" numFmtId="0" xfId="0" applyBorder="1" applyFont="1"/>
    <xf borderId="12" fillId="7" fontId="7" numFmtId="3" xfId="0" applyAlignment="1" applyBorder="1" applyFont="1" applyNumberFormat="1">
      <alignment horizontal="center" readingOrder="0" vertical="center"/>
    </xf>
    <xf borderId="7" fillId="0" fontId="11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vertical="center"/>
    </xf>
    <xf borderId="12" fillId="7" fontId="7" numFmtId="166" xfId="0" applyAlignment="1" applyBorder="1" applyFont="1" applyNumberFormat="1">
      <alignment vertical="center"/>
    </xf>
    <xf borderId="12" fillId="7" fontId="7" numFmtId="3" xfId="0" applyAlignment="1" applyBorder="1" applyFont="1" applyNumberFormat="1">
      <alignment horizontal="right" vertical="center"/>
    </xf>
    <xf borderId="7" fillId="5" fontId="7" numFmtId="165" xfId="0" applyAlignment="1" applyBorder="1" applyFont="1" applyNumberFormat="1">
      <alignment readingOrder="0" shrinkToFit="0" vertical="center" wrapText="1"/>
    </xf>
    <xf borderId="7" fillId="0" fontId="12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center" readingOrder="0" vertical="center"/>
    </xf>
    <xf borderId="12" fillId="0" fontId="7" numFmtId="164" xfId="0" applyAlignment="1" applyBorder="1" applyFont="1" applyNumberFormat="1">
      <alignment horizontal="center" readingOrder="0" vertical="center"/>
    </xf>
    <xf borderId="12" fillId="0" fontId="7" numFmtId="164" xfId="0" applyAlignment="1" applyBorder="1" applyFont="1" applyNumberFormat="1">
      <alignment readingOrder="0" shrinkToFit="0" vertical="center" wrapText="1"/>
    </xf>
    <xf borderId="12" fillId="0" fontId="7" numFmtId="0" xfId="0" applyAlignment="1" applyBorder="1" applyFont="1">
      <alignment horizontal="left" readingOrder="0" vertical="center"/>
    </xf>
    <xf borderId="12" fillId="0" fontId="13" numFmtId="0" xfId="0" applyAlignment="1" applyBorder="1" applyFont="1">
      <alignment horizontal="left" readingOrder="0" shrinkToFit="0" vertical="center" wrapText="1"/>
    </xf>
    <xf borderId="12" fillId="0" fontId="7" numFmtId="3" xfId="0" applyAlignment="1" applyBorder="1" applyFont="1" applyNumberFormat="1">
      <alignment horizontal="center" readingOrder="0" shrinkToFit="0" vertical="center" wrapText="1"/>
    </xf>
    <xf borderId="12" fillId="0" fontId="7" numFmtId="3" xfId="0" applyAlignment="1" applyBorder="1" applyFont="1" applyNumberFormat="1">
      <alignment horizontal="center" readingOrder="0" vertical="center"/>
    </xf>
    <xf borderId="12" fillId="0" fontId="7" numFmtId="3" xfId="0" applyAlignment="1" applyBorder="1" applyFont="1" applyNumberFormat="1">
      <alignment horizontal="center" vertical="center"/>
    </xf>
    <xf borderId="12" fillId="0" fontId="7" numFmtId="10" xfId="0" applyAlignment="1" applyBorder="1" applyFont="1" applyNumberFormat="1">
      <alignment horizontal="center" vertical="center"/>
    </xf>
    <xf borderId="12" fillId="0" fontId="7" numFmtId="165" xfId="0" applyAlignment="1" applyBorder="1" applyFont="1" applyNumberFormat="1">
      <alignment horizontal="center" readingOrder="0" vertical="center"/>
    </xf>
    <xf borderId="12" fillId="0" fontId="7" numFmtId="165" xfId="0" applyAlignment="1" applyBorder="1" applyFont="1" applyNumberFormat="1">
      <alignment horizontal="center" vertical="center"/>
    </xf>
    <xf borderId="12" fillId="5" fontId="9" numFmtId="165" xfId="0" applyAlignment="1" applyBorder="1" applyFont="1" applyNumberFormat="1">
      <alignment readingOrder="0" shrinkToFit="0" vertical="center" wrapText="1"/>
    </xf>
    <xf borderId="12" fillId="0" fontId="7" numFmtId="3" xfId="0" applyAlignment="1" applyBorder="1" applyFont="1" applyNumberFormat="1">
      <alignment readingOrder="0" shrinkToFit="0" vertical="center" wrapText="1"/>
    </xf>
    <xf borderId="7" fillId="0" fontId="7" numFmtId="3" xfId="0" applyAlignment="1" applyBorder="1" applyFont="1" applyNumberFormat="1">
      <alignment readingOrder="0" shrinkToFit="0" vertical="center" wrapText="1"/>
    </xf>
    <xf borderId="7" fillId="0" fontId="7" numFmtId="3" xfId="0" applyAlignment="1" applyBorder="1" applyFont="1" applyNumberFormat="1">
      <alignment vertical="center"/>
    </xf>
    <xf borderId="0" fillId="0" fontId="14" numFmtId="3" xfId="0" applyAlignment="1" applyFont="1" applyNumberFormat="1">
      <alignment vertical="center"/>
    </xf>
    <xf borderId="0" fillId="0" fontId="7" numFmtId="3" xfId="0" applyAlignment="1" applyFont="1" applyNumberFormat="1">
      <alignment horizontal="center" shrinkToFit="0" vertical="center" wrapText="1"/>
    </xf>
    <xf borderId="0" fillId="0" fontId="7" numFmtId="3" xfId="0" applyAlignment="1" applyFont="1" applyNumberFormat="1">
      <alignment horizontal="center" vertical="center"/>
    </xf>
    <xf borderId="14" fillId="0" fontId="15" numFmtId="0" xfId="0" applyAlignment="1" applyBorder="1" applyFont="1">
      <alignment horizontal="center" readingOrder="0" vertical="center"/>
    </xf>
    <xf borderId="15" fillId="0" fontId="5" numFmtId="0" xfId="0" applyBorder="1" applyFont="1"/>
    <xf borderId="0" fillId="0" fontId="16" numFmtId="3" xfId="0" applyAlignment="1" applyFont="1" applyNumberForma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9" numFmtId="3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5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20" numFmtId="3" xfId="0" applyAlignment="1" applyFont="1" applyNumberFormat="1">
      <alignment vertical="center"/>
    </xf>
    <xf borderId="0" fillId="0" fontId="21" numFmtId="3" xfId="0" applyAlignment="1" applyFont="1" applyNumberFormat="1">
      <alignment horizontal="center" vertical="center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4" xfId="0" applyAlignment="1" applyFont="1" applyNumberFormat="1">
      <alignment vertical="center"/>
    </xf>
    <xf borderId="7" fillId="0" fontId="7" numFmtId="0" xfId="0" applyAlignment="1" applyBorder="1" applyFont="1">
      <alignment horizontal="center"/>
    </xf>
    <xf borderId="7" fillId="0" fontId="7" numFmtId="164" xfId="0" applyAlignment="1" applyBorder="1" applyFont="1" applyNumberFormat="1">
      <alignment horizontal="center"/>
    </xf>
    <xf borderId="7" fillId="0" fontId="7" numFmtId="164" xfId="0" applyAlignment="1" applyBorder="1" applyFont="1" applyNumberFormat="1">
      <alignment shrinkToFit="0" wrapText="1"/>
    </xf>
    <xf borderId="7" fillId="0" fontId="7" numFmtId="0" xfId="0" applyBorder="1" applyFont="1"/>
    <xf borderId="7" fillId="0" fontId="22" numFmtId="0" xfId="0" applyAlignment="1" applyBorder="1" applyFont="1">
      <alignment shrinkToFit="0" wrapText="1"/>
    </xf>
    <xf borderId="7" fillId="0" fontId="7" numFmtId="3" xfId="0" applyAlignment="1" applyBorder="1" applyFont="1" applyNumberFormat="1">
      <alignment horizontal="center" shrinkToFit="0" wrapText="1"/>
    </xf>
    <xf borderId="7" fillId="0" fontId="7" numFmtId="3" xfId="0" applyAlignment="1" applyBorder="1" applyFont="1" applyNumberFormat="1">
      <alignment horizontal="center"/>
    </xf>
    <xf borderId="7" fillId="0" fontId="7" numFmtId="10" xfId="0" applyAlignment="1" applyBorder="1" applyFont="1" applyNumberFormat="1">
      <alignment horizontal="center"/>
    </xf>
    <xf borderId="7" fillId="0" fontId="7" numFmtId="165" xfId="0" applyAlignment="1" applyBorder="1" applyFont="1" applyNumberFormat="1">
      <alignment horizontal="center"/>
    </xf>
    <xf borderId="7" fillId="5" fontId="7" numFmtId="165" xfId="0" applyAlignment="1" applyBorder="1" applyFont="1" applyNumberFormat="1">
      <alignment shrinkToFit="0" wrapText="1"/>
    </xf>
    <xf borderId="12" fillId="5" fontId="7" numFmtId="3" xfId="0" applyAlignment="1" applyBorder="1" applyFont="1" applyNumberFormat="1">
      <alignment horizontal="center"/>
    </xf>
    <xf borderId="12" fillId="5" fontId="7" numFmtId="3" xfId="0" applyAlignment="1" applyBorder="1" applyFont="1" applyNumberFormat="1">
      <alignment shrinkToFit="0" wrapText="1"/>
    </xf>
    <xf borderId="12" fillId="0" fontId="7" numFmtId="3" xfId="0" applyAlignment="1" applyBorder="1" applyFont="1" applyNumberFormat="1">
      <alignment horizontal="right"/>
    </xf>
    <xf borderId="12" fillId="0" fontId="7" numFmtId="3" xfId="0" applyBorder="1" applyFont="1" applyNumberFormat="1"/>
    <xf borderId="7" fillId="0" fontId="7" numFmtId="3" xfId="0" applyBorder="1" applyFont="1" applyNumberFormat="1"/>
    <xf borderId="0" fillId="0" fontId="7" numFmtId="0" xfId="0" applyFont="1"/>
    <xf borderId="12" fillId="7" fontId="7" numFmtId="3" xfId="0" applyAlignment="1" applyBorder="1" applyFont="1" applyNumberFormat="1">
      <alignment horizontal="center"/>
    </xf>
    <xf borderId="12" fillId="7" fontId="7" numFmtId="166" xfId="0" applyBorder="1" applyFont="1" applyNumberFormat="1"/>
    <xf borderId="12" fillId="7" fontId="7" numFmtId="3" xfId="0" applyAlignment="1" applyBorder="1" applyFont="1" applyNumberFormat="1">
      <alignment horizontal="right"/>
    </xf>
    <xf borderId="12" fillId="7" fontId="7" numFmtId="4" xfId="0" applyAlignment="1" applyBorder="1" applyFont="1" applyNumberFormat="1">
      <alignment horizontal="center" shrinkToFit="0" wrapText="1"/>
    </xf>
    <xf borderId="12" fillId="7" fontId="7" numFmtId="9" xfId="0" applyAlignment="1" applyBorder="1" applyFont="1" applyNumberFormat="1">
      <alignment horizontal="center" shrinkToFit="0" wrapText="1"/>
    </xf>
    <xf borderId="12" fillId="7" fontId="7" numFmtId="166" xfId="0" applyAlignment="1" applyBorder="1" applyFont="1" applyNumberFormat="1">
      <alignment horizontal="right" shrinkToFit="0" wrapText="1"/>
    </xf>
    <xf borderId="12" fillId="7" fontId="10" numFmtId="10" xfId="0" applyAlignment="1" applyBorder="1" applyFont="1" applyNumberFormat="1">
      <alignment horizontal="right" shrinkToFit="0" wrapText="1"/>
    </xf>
    <xf borderId="12" fillId="0" fontId="7" numFmtId="0" xfId="0" applyAlignment="1" applyBorder="1" applyFont="1">
      <alignment horizontal="center" readingOrder="0"/>
    </xf>
    <xf borderId="12" fillId="0" fontId="7" numFmtId="164" xfId="0" applyAlignment="1" applyBorder="1" applyFont="1" applyNumberFormat="1">
      <alignment horizontal="center"/>
    </xf>
    <xf borderId="12" fillId="0" fontId="7" numFmtId="164" xfId="0" applyAlignment="1" applyBorder="1" applyFont="1" applyNumberFormat="1">
      <alignment readingOrder="0" shrinkToFit="0" wrapText="1"/>
    </xf>
    <xf borderId="12" fillId="0" fontId="7" numFmtId="0" xfId="0" applyBorder="1" applyFont="1"/>
    <xf borderId="12" fillId="0" fontId="23" numFmtId="0" xfId="0" applyAlignment="1" applyBorder="1" applyFont="1">
      <alignment shrinkToFit="0" wrapText="1"/>
    </xf>
    <xf borderId="12" fillId="0" fontId="7" numFmtId="3" xfId="0" applyAlignment="1" applyBorder="1" applyFont="1" applyNumberFormat="1">
      <alignment horizontal="center" shrinkToFit="0" wrapText="1"/>
    </xf>
    <xf borderId="12" fillId="0" fontId="7" numFmtId="3" xfId="0" applyAlignment="1" applyBorder="1" applyFont="1" applyNumberFormat="1">
      <alignment horizontal="center"/>
    </xf>
    <xf borderId="12" fillId="0" fontId="7" numFmtId="10" xfId="0" applyAlignment="1" applyBorder="1" applyFont="1" applyNumberFormat="1">
      <alignment horizontal="center"/>
    </xf>
    <xf borderId="12" fillId="0" fontId="7" numFmtId="165" xfId="0" applyAlignment="1" applyBorder="1" applyFont="1" applyNumberFormat="1">
      <alignment horizontal="center"/>
    </xf>
    <xf borderId="12" fillId="5" fontId="7" numFmtId="165" xfId="0" applyAlignment="1" applyBorder="1" applyFont="1" applyNumberFormat="1">
      <alignment shrinkToFit="0" wrapText="1"/>
    </xf>
    <xf borderId="7" fillId="0" fontId="7" numFmtId="0" xfId="0" applyAlignment="1" applyBorder="1" applyFont="1">
      <alignment horizontal="center" readingOrder="0"/>
    </xf>
    <xf borderId="12" fillId="0" fontId="7" numFmtId="164" xfId="0" applyAlignment="1" applyBorder="1" applyFont="1" applyNumberFormat="1">
      <alignment shrinkToFit="0" wrapText="1"/>
    </xf>
    <xf borderId="12" fillId="0" fontId="7" numFmtId="165" xfId="0" applyBorder="1" applyFont="1" applyNumberFormat="1"/>
    <xf borderId="12" fillId="0" fontId="7" numFmtId="3" xfId="0" applyAlignment="1" applyBorder="1" applyFont="1" applyNumberFormat="1">
      <alignment shrinkToFit="0" wrapText="1"/>
    </xf>
    <xf borderId="0" fillId="0" fontId="24" numFmtId="0" xfId="0" applyFont="1"/>
    <xf borderId="0" fillId="0" fontId="7" numFmtId="3" xfId="0" applyAlignment="1" applyFont="1" applyNumberFormat="1">
      <alignment horizontal="center" shrinkToFit="0" wrapText="1"/>
    </xf>
    <xf borderId="0" fillId="0" fontId="7" numFmtId="3" xfId="0" applyAlignment="1" applyFont="1" applyNumberFormat="1">
      <alignment horizontal="center"/>
    </xf>
    <xf borderId="0" fillId="0" fontId="7" numFmtId="3" xfId="0" applyFont="1" applyNumberFormat="1"/>
    <xf borderId="16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ktok.com/@khoyrunnisabudiasih14?_r=1&amp;_t=ZS-9572p1t0RyH" TargetMode="External"/><Relationship Id="rId22" Type="http://schemas.openxmlformats.org/officeDocument/2006/relationships/hyperlink" Target="https://www.tiktok.com/@felvel817?_r=1&amp;_t=ZS-94hWPX7Lkd3" TargetMode="External"/><Relationship Id="rId21" Type="http://schemas.openxmlformats.org/officeDocument/2006/relationships/hyperlink" Target="https://www.tiktok.com/@yrkartoyo?_r=1&amp;_t=ZS-9572hbLxkiT" TargetMode="External"/><Relationship Id="rId24" Type="http://schemas.openxmlformats.org/officeDocument/2006/relationships/hyperlink" Target="https://www.tiktok.com/@mr.coyk?_r=1&amp;_t=ZS-94kwVtXjR4f" TargetMode="External"/><Relationship Id="rId23" Type="http://schemas.openxmlformats.org/officeDocument/2006/relationships/hyperlink" Target="https://www.tiktok.com/@josephinethaliaa?_r=1&amp;_t=ZS-94hT6sNxs5l" TargetMode="External"/><Relationship Id="rId1" Type="http://schemas.openxmlformats.org/officeDocument/2006/relationships/hyperlink" Target="http://www.tiktok.com/@adifi_" TargetMode="External"/><Relationship Id="rId2" Type="http://schemas.openxmlformats.org/officeDocument/2006/relationships/hyperlink" Target="http://www.tiktok.com/@ilhahoam1" TargetMode="External"/><Relationship Id="rId3" Type="http://schemas.openxmlformats.org/officeDocument/2006/relationships/hyperlink" Target="http://www.tiktok.com/@kadin5s" TargetMode="External"/><Relationship Id="rId4" Type="http://schemas.openxmlformats.org/officeDocument/2006/relationships/hyperlink" Target="https://www.tiktok.com/@winnerizky" TargetMode="External"/><Relationship Id="rId9" Type="http://schemas.openxmlformats.org/officeDocument/2006/relationships/hyperlink" Target="http://www.tiktok.com/@eonni.elma" TargetMode="External"/><Relationship Id="rId26" Type="http://schemas.openxmlformats.org/officeDocument/2006/relationships/hyperlink" Target="http://tiktok.com/@zia_knypov" TargetMode="External"/><Relationship Id="rId25" Type="http://schemas.openxmlformats.org/officeDocument/2006/relationships/hyperlink" Target="http://tiktok.com/@flyingsoumen" TargetMode="External"/><Relationship Id="rId28" Type="http://schemas.openxmlformats.org/officeDocument/2006/relationships/hyperlink" Target="http://tiktok.com/@knocksonheavensdoor" TargetMode="External"/><Relationship Id="rId27" Type="http://schemas.openxmlformats.org/officeDocument/2006/relationships/hyperlink" Target="http://tiktok.com/@enzd.yeager" TargetMode="External"/><Relationship Id="rId5" Type="http://schemas.openxmlformats.org/officeDocument/2006/relationships/hyperlink" Target="https://www.tiktok.com/@re.sireview.film" TargetMode="External"/><Relationship Id="rId6" Type="http://schemas.openxmlformats.org/officeDocument/2006/relationships/hyperlink" Target="http://www.tiktok.com/@intantan41" TargetMode="External"/><Relationship Id="rId29" Type="http://schemas.openxmlformats.org/officeDocument/2006/relationships/hyperlink" Target="https://www.tiktok.com/@joshuasteven_" TargetMode="External"/><Relationship Id="rId7" Type="http://schemas.openxmlformats.org/officeDocument/2006/relationships/hyperlink" Target="http://www.tiktok.com/@gelardino99" TargetMode="External"/><Relationship Id="rId8" Type="http://schemas.openxmlformats.org/officeDocument/2006/relationships/hyperlink" Target="http://www.tiktok.com/@bukanawit" TargetMode="External"/><Relationship Id="rId31" Type="http://schemas.openxmlformats.org/officeDocument/2006/relationships/hyperlink" Target="https://www.tiktok.com/@pemudark" TargetMode="External"/><Relationship Id="rId30" Type="http://schemas.openxmlformats.org/officeDocument/2006/relationships/hyperlink" Target="https://www.tiktok.com/@nyakweterus_" TargetMode="External"/><Relationship Id="rId11" Type="http://schemas.openxmlformats.org/officeDocument/2006/relationships/hyperlink" Target="http://www.tiktok.com/@rifkyprasodjo" TargetMode="External"/><Relationship Id="rId33" Type="http://schemas.openxmlformats.org/officeDocument/2006/relationships/hyperlink" Target="https://www.tiktok.com/@louisandfloren" TargetMode="External"/><Relationship Id="rId10" Type="http://schemas.openxmlformats.org/officeDocument/2006/relationships/hyperlink" Target="http://www.tiktok.com/@lindafebrianaaa" TargetMode="External"/><Relationship Id="rId32" Type="http://schemas.openxmlformats.org/officeDocument/2006/relationships/hyperlink" Target="https://www.tiktok.com/@freaky.tricky" TargetMode="External"/><Relationship Id="rId13" Type="http://schemas.openxmlformats.org/officeDocument/2006/relationships/hyperlink" Target="http://www.tiktok.com/@ombewokreviewer" TargetMode="External"/><Relationship Id="rId12" Type="http://schemas.openxmlformats.org/officeDocument/2006/relationships/hyperlink" Target="http://www.tiktok.com/@woodcocktv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://www.tiktok.com/@branovams" TargetMode="External"/><Relationship Id="rId14" Type="http://schemas.openxmlformats.org/officeDocument/2006/relationships/hyperlink" Target="http://www.tiktok.com/@ramsest00" TargetMode="External"/><Relationship Id="rId17" Type="http://schemas.openxmlformats.org/officeDocument/2006/relationships/hyperlink" Target="http://tiktok.com/@cornellaoct" TargetMode="External"/><Relationship Id="rId16" Type="http://schemas.openxmlformats.org/officeDocument/2006/relationships/hyperlink" Target="http://tiktok.com/@cornellaoct" TargetMode="External"/><Relationship Id="rId19" Type="http://schemas.openxmlformats.org/officeDocument/2006/relationships/hyperlink" Target="https://www.tiktok.com/@marucatfamily" TargetMode="External"/><Relationship Id="rId18" Type="http://schemas.openxmlformats.org/officeDocument/2006/relationships/hyperlink" Target="https://www.tiktok.com/@gallent_dav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tiktok.com/@adifi_" TargetMode="External"/><Relationship Id="rId2" Type="http://schemas.openxmlformats.org/officeDocument/2006/relationships/hyperlink" Target="http://www.tiktok.com/@kadin5s" TargetMode="External"/><Relationship Id="rId3" Type="http://schemas.openxmlformats.org/officeDocument/2006/relationships/hyperlink" Target="https://www.tiktok.com/@winnerizky" TargetMode="External"/><Relationship Id="rId4" Type="http://schemas.openxmlformats.org/officeDocument/2006/relationships/hyperlink" Target="http://www.tiktok.com/@lindafebrianaaa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www.tiktok.com/@ramsest00" TargetMode="External"/><Relationship Id="rId6" Type="http://schemas.openxmlformats.org/officeDocument/2006/relationships/hyperlink" Target="https://www.tiktok.com/@marucatfamily" TargetMode="External"/><Relationship Id="rId7" Type="http://schemas.openxmlformats.org/officeDocument/2006/relationships/hyperlink" Target="https://www.tiktok.com/@felvel817?_r=1&amp;_t=ZS-94hWPX7Lkd3" TargetMode="External"/><Relationship Id="rId8" Type="http://schemas.openxmlformats.org/officeDocument/2006/relationships/hyperlink" Target="http://www.tiktok.com/@ombewokreview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1" width="7.38"/>
    <col customWidth="1" min="2" max="2" width="10.13"/>
    <col customWidth="1" min="3" max="3" width="14.88"/>
    <col customWidth="1" min="4" max="4" width="17.5"/>
    <col customWidth="1" min="6" max="6" width="16.5"/>
    <col customWidth="1" min="7" max="7" width="17.75"/>
    <col customWidth="1" min="13" max="13" width="22.75"/>
    <col customWidth="1" min="15" max="15" width="20.5"/>
    <col customWidth="1" min="16" max="16" width="19.38"/>
    <col customWidth="1" min="17" max="18" width="25.13"/>
    <col customWidth="1" min="19" max="19" width="29.25"/>
    <col customWidth="1" min="22" max="22" width="22.25"/>
  </cols>
  <sheetData>
    <row r="1">
      <c r="A1" s="1"/>
      <c r="B1" s="2"/>
      <c r="C1" s="3"/>
      <c r="D1" s="4"/>
      <c r="E1" s="5"/>
      <c r="F1" s="2"/>
      <c r="G1" s="2"/>
      <c r="H1" s="2"/>
      <c r="I1" s="2"/>
      <c r="J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6"/>
      <c r="Z1" s="7"/>
      <c r="AA1" s="8"/>
      <c r="AB1" s="8"/>
      <c r="AC1" s="8"/>
      <c r="AD1" s="8"/>
      <c r="AE1" s="9"/>
    </row>
    <row r="2">
      <c r="A2" s="10"/>
      <c r="B2" s="11"/>
      <c r="C2" s="12"/>
      <c r="D2" s="13"/>
      <c r="E2" s="14"/>
      <c r="F2" s="11"/>
      <c r="G2" s="11"/>
      <c r="H2" s="11"/>
      <c r="I2" s="11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5"/>
      <c r="Z2" s="16"/>
      <c r="AA2" s="17"/>
      <c r="AB2" s="17"/>
      <c r="AC2" s="17"/>
      <c r="AD2" s="17"/>
      <c r="AE2" s="18"/>
    </row>
    <row r="3">
      <c r="A3" s="19" t="s">
        <v>1</v>
      </c>
      <c r="B3" s="20" t="s">
        <v>2</v>
      </c>
      <c r="C3" s="21" t="s">
        <v>3</v>
      </c>
      <c r="D3" s="20" t="s">
        <v>4</v>
      </c>
      <c r="E3" s="21" t="s">
        <v>5</v>
      </c>
      <c r="F3" s="20" t="s">
        <v>6</v>
      </c>
      <c r="G3" s="22" t="s">
        <v>7</v>
      </c>
      <c r="H3" s="23" t="s">
        <v>8</v>
      </c>
      <c r="I3" s="19" t="s">
        <v>9</v>
      </c>
      <c r="J3" s="24" t="s">
        <v>10</v>
      </c>
      <c r="K3" s="21" t="s">
        <v>11</v>
      </c>
      <c r="L3" s="20" t="s">
        <v>12</v>
      </c>
      <c r="M3" s="25" t="s">
        <v>13</v>
      </c>
      <c r="N3" s="26"/>
      <c r="O3" s="27"/>
      <c r="P3" s="28" t="s">
        <v>14</v>
      </c>
      <c r="Q3" s="29" t="s">
        <v>15</v>
      </c>
      <c r="R3" s="29" t="s">
        <v>16</v>
      </c>
      <c r="S3" s="30" t="s">
        <v>17</v>
      </c>
      <c r="T3" s="31"/>
      <c r="U3" s="32" t="s">
        <v>13</v>
      </c>
      <c r="V3" s="27"/>
      <c r="W3" s="22" t="s">
        <v>14</v>
      </c>
      <c r="X3" s="28" t="s">
        <v>18</v>
      </c>
      <c r="Y3" s="33" t="s">
        <v>19</v>
      </c>
      <c r="Z3" s="28" t="s">
        <v>20</v>
      </c>
      <c r="AA3" s="28" t="s">
        <v>21</v>
      </c>
      <c r="AB3" s="34" t="s">
        <v>22</v>
      </c>
      <c r="AC3" s="28" t="s">
        <v>23</v>
      </c>
      <c r="AD3" s="28" t="s">
        <v>24</v>
      </c>
      <c r="AE3" s="28" t="s">
        <v>25</v>
      </c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6" t="s">
        <v>26</v>
      </c>
      <c r="N4" s="37" t="s">
        <v>27</v>
      </c>
      <c r="O4" s="38" t="s">
        <v>28</v>
      </c>
      <c r="P4" s="35"/>
      <c r="Q4" s="35"/>
      <c r="R4" s="35"/>
      <c r="S4" s="35"/>
      <c r="T4" s="31"/>
      <c r="U4" s="39" t="s">
        <v>27</v>
      </c>
      <c r="V4" s="40" t="s">
        <v>28</v>
      </c>
      <c r="W4" s="35"/>
      <c r="X4" s="35"/>
      <c r="Y4" s="35"/>
      <c r="Z4" s="35"/>
      <c r="AA4" s="35"/>
      <c r="AB4" s="35"/>
      <c r="AC4" s="35"/>
      <c r="AD4" s="35"/>
      <c r="AE4" s="35"/>
    </row>
    <row r="5">
      <c r="A5" s="41">
        <v>1.0</v>
      </c>
      <c r="B5" s="42" t="s">
        <v>29</v>
      </c>
      <c r="C5" s="43" t="s">
        <v>30</v>
      </c>
      <c r="D5" s="44" t="s">
        <v>31</v>
      </c>
      <c r="E5" s="45" t="s">
        <v>32</v>
      </c>
      <c r="F5" s="46" t="s">
        <v>33</v>
      </c>
      <c r="G5" s="47" t="s">
        <v>34</v>
      </c>
      <c r="H5" s="48">
        <v>59600.0</v>
      </c>
      <c r="I5" s="48" t="str">
        <f>IF(ISBLANK(H5),,IF((H5&gt;=4000000),"Celebrity",(IF(AND(H5&lt;4000000, H5&gt;=1000000),"Mega",(IF(AND(H5&lt;1000000, H5&gt;=100000),"Macro",(IF(AND(H5&lt;100000, H5&gt;=10000),"Micro",(IF((H5&lt;10000),"Nano",("Check")))))))))))</f>
        <v>Micro</v>
      </c>
      <c r="J5" s="49">
        <f>L5/H5</f>
        <v>0.1663422819</v>
      </c>
      <c r="K5" s="50">
        <f>average(6103,926100,19300,188200,4910,72100,136900,1577,33100)</f>
        <v>154254.4444</v>
      </c>
      <c r="L5" s="51">
        <f>8000+314+1600</f>
        <v>9914</v>
      </c>
      <c r="M5" s="52" t="s">
        <v>35</v>
      </c>
      <c r="N5" s="53">
        <f t="shared" ref="N5:O5" si="1">U5</f>
        <v>1</v>
      </c>
      <c r="O5" s="54" t="str">
        <f t="shared" si="1"/>
        <v>TT Video</v>
      </c>
      <c r="P5" s="55">
        <f t="shared" ref="P5:P70" si="3">AD5</f>
        <v>2300000</v>
      </c>
      <c r="Q5" s="56"/>
      <c r="R5" s="57" t="s">
        <v>36</v>
      </c>
      <c r="S5" s="58"/>
      <c r="T5" s="59"/>
      <c r="U5" s="60">
        <v>1.0</v>
      </c>
      <c r="V5" s="61" t="s">
        <v>37</v>
      </c>
      <c r="W5" s="62">
        <v>1200000.0</v>
      </c>
      <c r="X5" s="60">
        <f t="shared" ref="X5:X70" si="4">U5*W5</f>
        <v>1200000</v>
      </c>
      <c r="Y5" s="63">
        <v>0.98</v>
      </c>
      <c r="Z5" s="64">
        <v>0.11</v>
      </c>
      <c r="AA5" s="65">
        <f t="shared" ref="AA5:AA70" si="5">(X5/Y5)+(X5*Z5)</f>
        <v>1356489.796</v>
      </c>
      <c r="AB5" s="65">
        <f t="shared" ref="AB5:AB70" si="6">AA5/0.6</f>
        <v>2260816.327</v>
      </c>
      <c r="AC5" s="65">
        <f t="shared" ref="AC5:AC70" si="7">IF(ISBLANK(AB5), "Calc. MU**!", AB5)</f>
        <v>2260816.327</v>
      </c>
      <c r="AD5" s="65">
        <f t="shared" ref="AD5:AD70" si="8">IFERROR(ROUNDUP(AC5,-5),"Calc Published Rate!")</f>
        <v>2300000</v>
      </c>
      <c r="AE5" s="66">
        <f t="shared" ref="AE5:AE70" si="9">IFERROR((AD5-AA5)/AD5, "Calc Published Rate***)")</f>
        <v>0.4102218279</v>
      </c>
    </row>
    <row r="6">
      <c r="A6" s="35"/>
      <c r="B6" s="35"/>
      <c r="C6" s="35"/>
      <c r="D6" s="35"/>
      <c r="E6" s="35"/>
      <c r="F6" s="35"/>
      <c r="G6" s="35"/>
      <c r="H6" s="67"/>
      <c r="I6" s="35"/>
      <c r="J6" s="35"/>
      <c r="K6" s="35"/>
      <c r="L6" s="35"/>
      <c r="M6" s="35"/>
      <c r="N6" s="53">
        <f t="shared" ref="N6:O6" si="2">U6</f>
        <v>1</v>
      </c>
      <c r="O6" s="54" t="str">
        <f t="shared" si="2"/>
        <v>Event attendance</v>
      </c>
      <c r="P6" s="55">
        <f t="shared" si="3"/>
        <v>500000</v>
      </c>
      <c r="Q6" s="56"/>
      <c r="R6" s="35"/>
      <c r="S6" s="58"/>
      <c r="T6" s="59"/>
      <c r="U6" s="68">
        <v>1.0</v>
      </c>
      <c r="V6" s="61" t="s">
        <v>38</v>
      </c>
      <c r="W6" s="62">
        <v>250000.0</v>
      </c>
      <c r="X6" s="60">
        <f t="shared" si="4"/>
        <v>250000</v>
      </c>
      <c r="Y6" s="63">
        <v>0.98</v>
      </c>
      <c r="Z6" s="64">
        <v>0.11</v>
      </c>
      <c r="AA6" s="65">
        <f t="shared" si="5"/>
        <v>282602.0408</v>
      </c>
      <c r="AB6" s="65">
        <f t="shared" si="6"/>
        <v>471003.4014</v>
      </c>
      <c r="AC6" s="65">
        <f t="shared" si="7"/>
        <v>471003.4014</v>
      </c>
      <c r="AD6" s="65">
        <f t="shared" si="8"/>
        <v>500000</v>
      </c>
      <c r="AE6" s="66">
        <f t="shared" si="9"/>
        <v>0.4347959184</v>
      </c>
    </row>
    <row r="7">
      <c r="A7" s="41">
        <v>2.0</v>
      </c>
      <c r="B7" s="42" t="s">
        <v>29</v>
      </c>
      <c r="C7" s="43" t="s">
        <v>39</v>
      </c>
      <c r="D7" s="44" t="s">
        <v>40</v>
      </c>
      <c r="E7" s="69" t="s">
        <v>41</v>
      </c>
      <c r="F7" s="46" t="s">
        <v>33</v>
      </c>
      <c r="G7" s="47" t="s">
        <v>34</v>
      </c>
      <c r="H7" s="48">
        <v>71300.0</v>
      </c>
      <c r="I7" s="48" t="str">
        <f>IF(ISBLANK(H7),,IF((H7&gt;=4000000),"Celebrity",(IF(AND(H7&lt;4000000, H7&gt;=1000000),"Mega",(IF(AND(H7&lt;1000000, H7&gt;=100000),"Macro",(IF(AND(H7&lt;100000, H7&gt;=10000),"Micro",(IF((H7&lt;10000),"Nano",("Check")))))))))))</f>
        <v>Micro</v>
      </c>
      <c r="J7" s="49">
        <f>L7/H7</f>
        <v>0.01056100982</v>
      </c>
      <c r="K7" s="51">
        <f>average(5376,2561,1089,1089,9072,6881,1686,1933,1203,233400)</f>
        <v>26429</v>
      </c>
      <c r="L7" s="51">
        <f>734+5+14</f>
        <v>753</v>
      </c>
      <c r="M7" s="52" t="s">
        <v>35</v>
      </c>
      <c r="N7" s="53">
        <f t="shared" ref="N7:O7" si="10">U7</f>
        <v>1</v>
      </c>
      <c r="O7" s="54" t="str">
        <f t="shared" si="10"/>
        <v>TT Video</v>
      </c>
      <c r="P7" s="55">
        <f t="shared" si="3"/>
        <v>3800000</v>
      </c>
      <c r="Q7" s="56"/>
      <c r="R7" s="56"/>
      <c r="S7" s="56"/>
      <c r="T7" s="70"/>
      <c r="U7" s="60">
        <v>1.0</v>
      </c>
      <c r="V7" s="71" t="s">
        <v>37</v>
      </c>
      <c r="W7" s="62">
        <v>2000000.0</v>
      </c>
      <c r="X7" s="60">
        <f t="shared" si="4"/>
        <v>2000000</v>
      </c>
      <c r="Y7" s="63">
        <v>0.98</v>
      </c>
      <c r="Z7" s="64">
        <v>0.11</v>
      </c>
      <c r="AA7" s="65">
        <f t="shared" si="5"/>
        <v>2260816.327</v>
      </c>
      <c r="AB7" s="65">
        <f t="shared" si="6"/>
        <v>3768027.211</v>
      </c>
      <c r="AC7" s="65">
        <f t="shared" si="7"/>
        <v>3768027.211</v>
      </c>
      <c r="AD7" s="65">
        <f t="shared" si="8"/>
        <v>3800000</v>
      </c>
      <c r="AE7" s="66">
        <f t="shared" si="9"/>
        <v>0.4050483351</v>
      </c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53">
        <f t="shared" ref="N8:O8" si="11">U8</f>
        <v>1</v>
      </c>
      <c r="O8" s="54" t="str">
        <f t="shared" si="11"/>
        <v>Event attendance</v>
      </c>
      <c r="P8" s="55">
        <f t="shared" si="3"/>
        <v>0</v>
      </c>
      <c r="Q8" s="56"/>
      <c r="R8" s="56"/>
      <c r="S8" s="58" t="s">
        <v>42</v>
      </c>
      <c r="T8" s="70"/>
      <c r="U8" s="60">
        <v>1.0</v>
      </c>
      <c r="V8" s="61" t="s">
        <v>38</v>
      </c>
      <c r="W8" s="72">
        <v>0.0</v>
      </c>
      <c r="X8" s="60">
        <f t="shared" si="4"/>
        <v>0</v>
      </c>
      <c r="Y8" s="63">
        <v>0.98</v>
      </c>
      <c r="Z8" s="64">
        <v>0.11</v>
      </c>
      <c r="AA8" s="65">
        <f t="shared" si="5"/>
        <v>0</v>
      </c>
      <c r="AB8" s="65">
        <f t="shared" si="6"/>
        <v>0</v>
      </c>
      <c r="AC8" s="65">
        <f t="shared" si="7"/>
        <v>0</v>
      </c>
      <c r="AD8" s="65">
        <f t="shared" si="8"/>
        <v>0</v>
      </c>
      <c r="AE8" s="66" t="str">
        <f t="shared" si="9"/>
        <v>Calc Published Rate***)</v>
      </c>
    </row>
    <row r="9">
      <c r="A9" s="41">
        <v>3.0</v>
      </c>
      <c r="B9" s="42" t="s">
        <v>29</v>
      </c>
      <c r="C9" s="43" t="s">
        <v>43</v>
      </c>
      <c r="D9" s="44" t="s">
        <v>44</v>
      </c>
      <c r="E9" s="69" t="s">
        <v>45</v>
      </c>
      <c r="F9" s="46" t="s">
        <v>33</v>
      </c>
      <c r="G9" s="47" t="s">
        <v>34</v>
      </c>
      <c r="H9" s="48">
        <v>35600.0</v>
      </c>
      <c r="I9" s="48" t="str">
        <f>IF(ISBLANK(H9),,IF((H9&gt;=4000000),"Celebrity",(IF(AND(H9&lt;4000000, H9&gt;=1000000),"Mega",(IF(AND(H9&lt;1000000, H9&gt;=100000),"Macro",(IF(AND(H9&lt;100000, H9&gt;=10000),"Micro",(IF((H9&lt;10000),"Nano",("Check")))))))))))</f>
        <v>Micro</v>
      </c>
      <c r="J9" s="49">
        <f>L9/H9</f>
        <v>0.1073033708</v>
      </c>
      <c r="K9" s="51">
        <f>average(10700,77600,36600,225100,12300,12300,111000,13000,18000,83000)</f>
        <v>59960</v>
      </c>
      <c r="L9" s="51">
        <f>3100+127+593</f>
        <v>3820</v>
      </c>
      <c r="M9" s="73" t="s">
        <v>35</v>
      </c>
      <c r="N9" s="53">
        <f t="shared" ref="N9:O9" si="12">U9</f>
        <v>1</v>
      </c>
      <c r="O9" s="54" t="str">
        <f t="shared" si="12"/>
        <v>TT Video</v>
      </c>
      <c r="P9" s="55">
        <f t="shared" si="3"/>
        <v>1900000</v>
      </c>
      <c r="Q9" s="56"/>
      <c r="R9" s="57" t="s">
        <v>46</v>
      </c>
      <c r="S9" s="56"/>
      <c r="T9" s="70"/>
      <c r="U9" s="60">
        <v>1.0</v>
      </c>
      <c r="V9" s="71" t="s">
        <v>37</v>
      </c>
      <c r="W9" s="62">
        <v>1000000.0</v>
      </c>
      <c r="X9" s="60">
        <f t="shared" si="4"/>
        <v>1000000</v>
      </c>
      <c r="Y9" s="63">
        <v>0.98</v>
      </c>
      <c r="Z9" s="64">
        <v>0.11</v>
      </c>
      <c r="AA9" s="65">
        <f t="shared" si="5"/>
        <v>1130408.163</v>
      </c>
      <c r="AB9" s="65">
        <f t="shared" si="6"/>
        <v>1884013.605</v>
      </c>
      <c r="AC9" s="65">
        <f t="shared" si="7"/>
        <v>1884013.605</v>
      </c>
      <c r="AD9" s="65">
        <f t="shared" si="8"/>
        <v>1900000</v>
      </c>
      <c r="AE9" s="66">
        <f t="shared" si="9"/>
        <v>0.4050483351</v>
      </c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3">
        <f t="shared" ref="N10:O10" si="13">U10</f>
        <v>1</v>
      </c>
      <c r="O10" s="54" t="str">
        <f t="shared" si="13"/>
        <v>Event attendance</v>
      </c>
      <c r="P10" s="55">
        <f t="shared" si="3"/>
        <v>1000000</v>
      </c>
      <c r="Q10" s="56"/>
      <c r="R10" s="35"/>
      <c r="S10" s="56"/>
      <c r="T10" s="70"/>
      <c r="U10" s="68">
        <v>1.0</v>
      </c>
      <c r="V10" s="61" t="s">
        <v>38</v>
      </c>
      <c r="W10" s="62">
        <v>500000.0</v>
      </c>
      <c r="X10" s="60">
        <f t="shared" si="4"/>
        <v>500000</v>
      </c>
      <c r="Y10" s="63">
        <v>0.98</v>
      </c>
      <c r="Z10" s="64">
        <v>0.11</v>
      </c>
      <c r="AA10" s="65">
        <f t="shared" si="5"/>
        <v>565204.0816</v>
      </c>
      <c r="AB10" s="65">
        <f t="shared" si="6"/>
        <v>942006.8027</v>
      </c>
      <c r="AC10" s="65">
        <f t="shared" si="7"/>
        <v>942006.8027</v>
      </c>
      <c r="AD10" s="65">
        <f t="shared" si="8"/>
        <v>1000000</v>
      </c>
      <c r="AE10" s="66">
        <f t="shared" si="9"/>
        <v>0.4347959184</v>
      </c>
    </row>
    <row r="11">
      <c r="A11" s="41">
        <v>4.0</v>
      </c>
      <c r="B11" s="42" t="s">
        <v>29</v>
      </c>
      <c r="C11" s="43" t="s">
        <v>30</v>
      </c>
      <c r="D11" s="44" t="s">
        <v>47</v>
      </c>
      <c r="E11" s="74" t="s">
        <v>48</v>
      </c>
      <c r="F11" s="46" t="s">
        <v>33</v>
      </c>
      <c r="G11" s="47" t="s">
        <v>34</v>
      </c>
      <c r="H11" s="48">
        <v>18100.0</v>
      </c>
      <c r="I11" s="48" t="str">
        <f>IF(ISBLANK(H11),,IF((H11&gt;=4000000),"Celebrity",(IF(AND(H11&lt;4000000, H11&gt;=1000000),"Mega",(IF(AND(H11&lt;1000000, H11&gt;=100000),"Macro",(IF(AND(H11&lt;100000, H11&gt;=10000),"Micro",(IF((H11&lt;10000),"Nano",("Check")))))))))))</f>
        <v>Micro</v>
      </c>
      <c r="J11" s="49">
        <f>L11/H11</f>
        <v>0.08414364641</v>
      </c>
      <c r="K11" s="51">
        <f>average(98600,12300,6325,31600,34200,676500,3710,6520,9752,31600)</f>
        <v>91110.7</v>
      </c>
      <c r="L11" s="51">
        <f>1400+63+60</f>
        <v>1523</v>
      </c>
      <c r="M11" s="73" t="s">
        <v>35</v>
      </c>
      <c r="N11" s="53">
        <f t="shared" ref="N11:O11" si="14">U11</f>
        <v>1</v>
      </c>
      <c r="O11" s="54" t="str">
        <f t="shared" si="14"/>
        <v>TT Video</v>
      </c>
      <c r="P11" s="55">
        <f t="shared" si="3"/>
        <v>800000</v>
      </c>
      <c r="Q11" s="56"/>
      <c r="R11" s="56"/>
      <c r="S11" s="56"/>
      <c r="T11" s="70"/>
      <c r="U11" s="60">
        <v>1.0</v>
      </c>
      <c r="V11" s="71" t="s">
        <v>37</v>
      </c>
      <c r="W11" s="62">
        <v>400000.0</v>
      </c>
      <c r="X11" s="60">
        <f t="shared" si="4"/>
        <v>400000</v>
      </c>
      <c r="Y11" s="63">
        <v>0.98</v>
      </c>
      <c r="Z11" s="64">
        <v>0.11</v>
      </c>
      <c r="AA11" s="65">
        <f t="shared" si="5"/>
        <v>452163.2653</v>
      </c>
      <c r="AB11" s="65">
        <f t="shared" si="6"/>
        <v>753605.4422</v>
      </c>
      <c r="AC11" s="65">
        <f t="shared" si="7"/>
        <v>753605.4422</v>
      </c>
      <c r="AD11" s="65">
        <f t="shared" si="8"/>
        <v>800000</v>
      </c>
      <c r="AE11" s="66">
        <f t="shared" si="9"/>
        <v>0.4347959184</v>
      </c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53">
        <f t="shared" ref="N12:O12" si="15">U12</f>
        <v>1</v>
      </c>
      <c r="O12" s="54" t="str">
        <f t="shared" si="15"/>
        <v>Event attendance</v>
      </c>
      <c r="P12" s="55">
        <f t="shared" si="3"/>
        <v>200000</v>
      </c>
      <c r="Q12" s="56"/>
      <c r="R12" s="56"/>
      <c r="S12" s="56"/>
      <c r="T12" s="70"/>
      <c r="U12" s="68">
        <v>1.0</v>
      </c>
      <c r="V12" s="61" t="s">
        <v>38</v>
      </c>
      <c r="W12" s="62">
        <v>100000.0</v>
      </c>
      <c r="X12" s="60">
        <f t="shared" si="4"/>
        <v>100000</v>
      </c>
      <c r="Y12" s="63">
        <v>0.98</v>
      </c>
      <c r="Z12" s="64">
        <v>0.11</v>
      </c>
      <c r="AA12" s="65">
        <f t="shared" si="5"/>
        <v>113040.8163</v>
      </c>
      <c r="AB12" s="65">
        <f t="shared" si="6"/>
        <v>188401.3605</v>
      </c>
      <c r="AC12" s="65">
        <f t="shared" si="7"/>
        <v>188401.3605</v>
      </c>
      <c r="AD12" s="65">
        <f t="shared" si="8"/>
        <v>200000</v>
      </c>
      <c r="AE12" s="66">
        <f t="shared" si="9"/>
        <v>0.4347959184</v>
      </c>
    </row>
    <row r="13">
      <c r="A13" s="41">
        <v>5.0</v>
      </c>
      <c r="B13" s="42" t="s">
        <v>29</v>
      </c>
      <c r="C13" s="43" t="s">
        <v>39</v>
      </c>
      <c r="D13" s="44" t="s">
        <v>49</v>
      </c>
      <c r="E13" s="45" t="s">
        <v>50</v>
      </c>
      <c r="F13" s="46" t="s">
        <v>33</v>
      </c>
      <c r="G13" s="47" t="s">
        <v>34</v>
      </c>
      <c r="H13" s="48">
        <v>5136.0</v>
      </c>
      <c r="I13" s="48" t="str">
        <f>IF(ISBLANK(H13),,IF((H13&gt;=4000000),"Celebrity",(IF(AND(H13&lt;4000000, H13&gt;=1000000),"Mega",(IF(AND(H13&lt;1000000, H13&gt;=100000),"Macro",(IF(AND(H13&lt;100000, H13&gt;=10000),"Micro",(IF((H13&lt;10000),"Nano",("Check")))))))))))</f>
        <v>Nano</v>
      </c>
      <c r="J13" s="49">
        <f>L13/H13</f>
        <v>0.1199376947</v>
      </c>
      <c r="K13" s="50">
        <v>22400.0</v>
      </c>
      <c r="L13" s="51">
        <f>546+22+48</f>
        <v>616</v>
      </c>
      <c r="M13" s="73" t="s">
        <v>35</v>
      </c>
      <c r="N13" s="53">
        <f t="shared" ref="N13:O13" si="16">U13</f>
        <v>1</v>
      </c>
      <c r="O13" s="54" t="str">
        <f t="shared" si="16"/>
        <v>TT Video</v>
      </c>
      <c r="P13" s="55">
        <f t="shared" si="3"/>
        <v>1000000</v>
      </c>
      <c r="Q13" s="56"/>
      <c r="R13" s="56"/>
      <c r="S13" s="58"/>
      <c r="T13" s="59"/>
      <c r="U13" s="68">
        <v>1.0</v>
      </c>
      <c r="V13" s="61" t="s">
        <v>37</v>
      </c>
      <c r="W13" s="62">
        <v>500000.0</v>
      </c>
      <c r="X13" s="60">
        <f t="shared" si="4"/>
        <v>500000</v>
      </c>
      <c r="Y13" s="63">
        <v>0.98</v>
      </c>
      <c r="Z13" s="64">
        <v>0.11</v>
      </c>
      <c r="AA13" s="65">
        <f t="shared" si="5"/>
        <v>565204.0816</v>
      </c>
      <c r="AB13" s="65">
        <f t="shared" si="6"/>
        <v>942006.8027</v>
      </c>
      <c r="AC13" s="65">
        <f t="shared" si="7"/>
        <v>942006.8027</v>
      </c>
      <c r="AD13" s="65">
        <f t="shared" si="8"/>
        <v>1000000</v>
      </c>
      <c r="AE13" s="66">
        <f t="shared" si="9"/>
        <v>0.4347959184</v>
      </c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53">
        <f t="shared" ref="N14:O14" si="17">U14</f>
        <v>1</v>
      </c>
      <c r="O14" s="54" t="str">
        <f t="shared" si="17"/>
        <v>Event attendance</v>
      </c>
      <c r="P14" s="55">
        <f t="shared" si="3"/>
        <v>0</v>
      </c>
      <c r="Q14" s="56"/>
      <c r="R14" s="56"/>
      <c r="S14" s="58" t="s">
        <v>51</v>
      </c>
      <c r="T14" s="59"/>
      <c r="U14" s="68">
        <v>1.0</v>
      </c>
      <c r="V14" s="61" t="s">
        <v>38</v>
      </c>
      <c r="W14" s="62">
        <v>0.0</v>
      </c>
      <c r="X14" s="60">
        <f t="shared" si="4"/>
        <v>0</v>
      </c>
      <c r="Y14" s="63">
        <v>0.98</v>
      </c>
      <c r="Z14" s="64">
        <v>0.11</v>
      </c>
      <c r="AA14" s="65">
        <f t="shared" si="5"/>
        <v>0</v>
      </c>
      <c r="AB14" s="65">
        <f t="shared" si="6"/>
        <v>0</v>
      </c>
      <c r="AC14" s="65">
        <f t="shared" si="7"/>
        <v>0</v>
      </c>
      <c r="AD14" s="65">
        <f t="shared" si="8"/>
        <v>0</v>
      </c>
      <c r="AE14" s="66" t="str">
        <f t="shared" si="9"/>
        <v>Calc Published Rate***)</v>
      </c>
    </row>
    <row r="15">
      <c r="A15" s="75">
        <v>6.0</v>
      </c>
      <c r="B15" s="76" t="s">
        <v>29</v>
      </c>
      <c r="C15" s="77" t="s">
        <v>52</v>
      </c>
      <c r="D15" s="78" t="s">
        <v>53</v>
      </c>
      <c r="E15" s="79" t="s">
        <v>54</v>
      </c>
      <c r="F15" s="80" t="s">
        <v>33</v>
      </c>
      <c r="G15" s="81" t="s">
        <v>55</v>
      </c>
      <c r="H15" s="82">
        <v>2019.0</v>
      </c>
      <c r="I15" s="82" t="str">
        <f t="shared" ref="I15:I16" si="19">IF(ISBLANK(H15),,IF((H15&gt;=4000000),"Celebrity",(IF(AND(H15&lt;4000000, H15&gt;=1000000),"Mega",(IF(AND(H15&lt;1000000, H15&gt;=100000),"Macro",(IF(AND(H15&lt;100000, H15&gt;=10000),"Micro",(IF((H15&lt;10000),"Nano",("Check")))))))))))</f>
        <v>Nano</v>
      </c>
      <c r="J15" s="83">
        <f t="shared" ref="J15:J16" si="20">L15/H15</f>
        <v>0</v>
      </c>
      <c r="K15" s="84"/>
      <c r="L15" s="85"/>
      <c r="M15" s="86"/>
      <c r="N15" s="53">
        <f t="shared" ref="N15:O15" si="18">U15</f>
        <v>0</v>
      </c>
      <c r="O15" s="54" t="str">
        <f t="shared" si="18"/>
        <v/>
      </c>
      <c r="P15" s="55">
        <f t="shared" si="3"/>
        <v>0</v>
      </c>
      <c r="Q15" s="56"/>
      <c r="R15" s="56"/>
      <c r="S15" s="58"/>
      <c r="T15" s="59"/>
      <c r="U15" s="68">
        <v>0.0</v>
      </c>
      <c r="V15" s="61"/>
      <c r="W15" s="62">
        <v>0.0</v>
      </c>
      <c r="X15" s="60">
        <f t="shared" si="4"/>
        <v>0</v>
      </c>
      <c r="Y15" s="63">
        <v>0.98</v>
      </c>
      <c r="Z15" s="64">
        <v>0.11</v>
      </c>
      <c r="AA15" s="65">
        <f t="shared" si="5"/>
        <v>0</v>
      </c>
      <c r="AB15" s="65">
        <f t="shared" si="6"/>
        <v>0</v>
      </c>
      <c r="AC15" s="65">
        <f t="shared" si="7"/>
        <v>0</v>
      </c>
      <c r="AD15" s="65">
        <f t="shared" si="8"/>
        <v>0</v>
      </c>
      <c r="AE15" s="66" t="str">
        <f t="shared" si="9"/>
        <v>Calc Published Rate***)</v>
      </c>
    </row>
    <row r="16">
      <c r="A16" s="41">
        <v>7.0</v>
      </c>
      <c r="B16" s="42" t="s">
        <v>29</v>
      </c>
      <c r="C16" s="43" t="s">
        <v>39</v>
      </c>
      <c r="D16" s="44" t="s">
        <v>56</v>
      </c>
      <c r="E16" s="45" t="s">
        <v>57</v>
      </c>
      <c r="F16" s="46" t="s">
        <v>33</v>
      </c>
      <c r="G16" s="47" t="s">
        <v>58</v>
      </c>
      <c r="H16" s="47">
        <v>32000.0</v>
      </c>
      <c r="I16" s="48" t="str">
        <f t="shared" si="19"/>
        <v>Micro</v>
      </c>
      <c r="J16" s="49">
        <f t="shared" si="20"/>
        <v>0.27028125</v>
      </c>
      <c r="K16" s="50">
        <f>average(26900,29200,18400,211700,93500,8755,66300,15900,124500,35800)</f>
        <v>63095.5</v>
      </c>
      <c r="L16" s="51">
        <f>8000+110+539</f>
        <v>8649</v>
      </c>
      <c r="M16" s="73" t="s">
        <v>35</v>
      </c>
      <c r="N16" s="53">
        <f t="shared" ref="N16:O16" si="21">U16</f>
        <v>1</v>
      </c>
      <c r="O16" s="54" t="str">
        <f t="shared" si="21"/>
        <v>TT Video</v>
      </c>
      <c r="P16" s="55">
        <f t="shared" si="3"/>
        <v>4800000</v>
      </c>
      <c r="Q16" s="56"/>
      <c r="R16" s="57" t="s">
        <v>59</v>
      </c>
      <c r="S16" s="58" t="s">
        <v>60</v>
      </c>
      <c r="T16" s="59"/>
      <c r="U16" s="68">
        <v>1.0</v>
      </c>
      <c r="V16" s="61" t="s">
        <v>37</v>
      </c>
      <c r="W16" s="62">
        <v>2500000.0</v>
      </c>
      <c r="X16" s="60">
        <f t="shared" si="4"/>
        <v>2500000</v>
      </c>
      <c r="Y16" s="63">
        <v>0.98</v>
      </c>
      <c r="Z16" s="64">
        <v>0.11</v>
      </c>
      <c r="AA16" s="65">
        <f t="shared" si="5"/>
        <v>2826020.408</v>
      </c>
      <c r="AB16" s="65">
        <f t="shared" si="6"/>
        <v>4710034.014</v>
      </c>
      <c r="AC16" s="65">
        <f t="shared" si="7"/>
        <v>4710034.014</v>
      </c>
      <c r="AD16" s="65">
        <f t="shared" si="8"/>
        <v>4800000</v>
      </c>
      <c r="AE16" s="66">
        <f t="shared" si="9"/>
        <v>0.4112457483</v>
      </c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53">
        <f t="shared" ref="N17:O17" si="22">U17</f>
        <v>1</v>
      </c>
      <c r="O17" s="54" t="str">
        <f t="shared" si="22"/>
        <v>Transportation Fee</v>
      </c>
      <c r="P17" s="55">
        <f t="shared" si="3"/>
        <v>2900000</v>
      </c>
      <c r="Q17" s="56"/>
      <c r="R17" s="35"/>
      <c r="S17" s="87" t="s">
        <v>61</v>
      </c>
      <c r="T17" s="59"/>
      <c r="U17" s="68">
        <v>1.0</v>
      </c>
      <c r="V17" s="61" t="s">
        <v>62</v>
      </c>
      <c r="W17" s="62">
        <v>1500000.0</v>
      </c>
      <c r="X17" s="60">
        <f t="shared" si="4"/>
        <v>1500000</v>
      </c>
      <c r="Y17" s="63">
        <v>0.98</v>
      </c>
      <c r="Z17" s="64">
        <v>0.11</v>
      </c>
      <c r="AA17" s="65">
        <f t="shared" si="5"/>
        <v>1695612.245</v>
      </c>
      <c r="AB17" s="65">
        <f t="shared" si="6"/>
        <v>2826020.408</v>
      </c>
      <c r="AC17" s="65">
        <f t="shared" si="7"/>
        <v>2826020.408</v>
      </c>
      <c r="AD17" s="65">
        <f t="shared" si="8"/>
        <v>2900000</v>
      </c>
      <c r="AE17" s="66">
        <f t="shared" si="9"/>
        <v>0.4153061224</v>
      </c>
    </row>
    <row r="18">
      <c r="A18" s="41">
        <v>8.0</v>
      </c>
      <c r="B18" s="42" t="s">
        <v>29</v>
      </c>
      <c r="C18" s="43" t="s">
        <v>63</v>
      </c>
      <c r="D18" s="44" t="s">
        <v>64</v>
      </c>
      <c r="E18" s="45" t="s">
        <v>65</v>
      </c>
      <c r="F18" s="46" t="s">
        <v>33</v>
      </c>
      <c r="G18" s="47" t="s">
        <v>58</v>
      </c>
      <c r="H18" s="48">
        <v>28700.0</v>
      </c>
      <c r="I18" s="48" t="str">
        <f>IF(ISBLANK(H18),,IF((H18&gt;=4000000),"Celebrity",(IF(AND(H18&lt;4000000, H18&gt;=1000000),"Mega",(IF(AND(H18&lt;1000000, H18&gt;=100000),"Macro",(IF(AND(H18&lt;100000, H18&gt;=10000),"Micro",(IF((H18&lt;10000),"Nano",("Check")))))))))))</f>
        <v>Micro</v>
      </c>
      <c r="J18" s="49">
        <f>L18/H18</f>
        <v>0.08717770035</v>
      </c>
      <c r="K18" s="50">
        <v>22400.0</v>
      </c>
      <c r="L18" s="51">
        <f>2300+26+176</f>
        <v>2502</v>
      </c>
      <c r="M18" s="52" t="s">
        <v>35</v>
      </c>
      <c r="N18" s="53">
        <f t="shared" ref="N18:O18" si="23">U18</f>
        <v>1</v>
      </c>
      <c r="O18" s="54" t="str">
        <f t="shared" si="23"/>
        <v>TT Video</v>
      </c>
      <c r="P18" s="55">
        <f t="shared" si="3"/>
        <v>3800000</v>
      </c>
      <c r="Q18" s="56"/>
      <c r="R18" s="57" t="s">
        <v>66</v>
      </c>
      <c r="S18" s="58"/>
      <c r="T18" s="59"/>
      <c r="U18" s="68">
        <v>1.0</v>
      </c>
      <c r="V18" s="61" t="s">
        <v>37</v>
      </c>
      <c r="W18" s="62">
        <v>2000000.0</v>
      </c>
      <c r="X18" s="60">
        <f t="shared" si="4"/>
        <v>2000000</v>
      </c>
      <c r="Y18" s="63">
        <v>0.98</v>
      </c>
      <c r="Z18" s="64">
        <v>0.11</v>
      </c>
      <c r="AA18" s="65">
        <f t="shared" si="5"/>
        <v>2260816.327</v>
      </c>
      <c r="AB18" s="65">
        <f t="shared" si="6"/>
        <v>3768027.211</v>
      </c>
      <c r="AC18" s="65">
        <f t="shared" si="7"/>
        <v>3768027.211</v>
      </c>
      <c r="AD18" s="65">
        <f t="shared" si="8"/>
        <v>3800000</v>
      </c>
      <c r="AE18" s="66">
        <f t="shared" si="9"/>
        <v>0.4050483351</v>
      </c>
    </row>
    <row r="19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53">
        <f t="shared" ref="N19:O19" si="24">U19</f>
        <v>1</v>
      </c>
      <c r="O19" s="54" t="str">
        <f t="shared" si="24"/>
        <v>Extra Charge</v>
      </c>
      <c r="P19" s="55">
        <f t="shared" si="3"/>
        <v>1900000</v>
      </c>
      <c r="Q19" s="56"/>
      <c r="R19" s="67"/>
      <c r="S19" s="58" t="s">
        <v>67</v>
      </c>
      <c r="T19" s="59"/>
      <c r="U19" s="68">
        <v>1.0</v>
      </c>
      <c r="V19" s="61" t="s">
        <v>68</v>
      </c>
      <c r="W19" s="62">
        <v>1000000.0</v>
      </c>
      <c r="X19" s="60">
        <f t="shared" si="4"/>
        <v>1000000</v>
      </c>
      <c r="Y19" s="63">
        <v>0.98</v>
      </c>
      <c r="Z19" s="64">
        <v>0.11</v>
      </c>
      <c r="AA19" s="65">
        <f t="shared" si="5"/>
        <v>1130408.163</v>
      </c>
      <c r="AB19" s="65">
        <f t="shared" si="6"/>
        <v>1884013.605</v>
      </c>
      <c r="AC19" s="65">
        <f t="shared" si="7"/>
        <v>1884013.605</v>
      </c>
      <c r="AD19" s="65">
        <f t="shared" si="8"/>
        <v>1900000</v>
      </c>
      <c r="AE19" s="66">
        <f t="shared" si="9"/>
        <v>0.4050483351</v>
      </c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53">
        <f t="shared" ref="N20:O20" si="25">U20</f>
        <v>1</v>
      </c>
      <c r="O20" s="54" t="str">
        <f t="shared" si="25"/>
        <v>Event attendance</v>
      </c>
      <c r="P20" s="55">
        <f t="shared" si="3"/>
        <v>2900000</v>
      </c>
      <c r="Q20" s="56"/>
      <c r="R20" s="35"/>
      <c r="S20" s="58" t="s">
        <v>69</v>
      </c>
      <c r="T20" s="59"/>
      <c r="U20" s="68">
        <v>1.0</v>
      </c>
      <c r="V20" s="61" t="s">
        <v>38</v>
      </c>
      <c r="W20" s="62">
        <v>1500000.0</v>
      </c>
      <c r="X20" s="60">
        <f t="shared" si="4"/>
        <v>1500000</v>
      </c>
      <c r="Y20" s="63">
        <v>0.98</v>
      </c>
      <c r="Z20" s="64">
        <v>0.11</v>
      </c>
      <c r="AA20" s="65">
        <f t="shared" si="5"/>
        <v>1695612.245</v>
      </c>
      <c r="AB20" s="65">
        <f t="shared" si="6"/>
        <v>2826020.408</v>
      </c>
      <c r="AC20" s="65">
        <f t="shared" si="7"/>
        <v>2826020.408</v>
      </c>
      <c r="AD20" s="65">
        <f t="shared" si="8"/>
        <v>2900000</v>
      </c>
      <c r="AE20" s="66">
        <f t="shared" si="9"/>
        <v>0.4153061224</v>
      </c>
    </row>
    <row r="21">
      <c r="A21" s="41">
        <v>9.0</v>
      </c>
      <c r="B21" s="42" t="s">
        <v>29</v>
      </c>
      <c r="C21" s="43" t="s">
        <v>39</v>
      </c>
      <c r="D21" s="44" t="s">
        <v>70</v>
      </c>
      <c r="E21" s="45" t="s">
        <v>71</v>
      </c>
      <c r="F21" s="46" t="s">
        <v>33</v>
      </c>
      <c r="G21" s="47" t="s">
        <v>34</v>
      </c>
      <c r="H21" s="48">
        <v>61700.0</v>
      </c>
      <c r="I21" s="48" t="str">
        <f>IF(ISBLANK(H21),,IF((H21&gt;=4000000),"Celebrity",(IF(AND(H21&lt;4000000, H21&gt;=1000000),"Mega",(IF(AND(H21&lt;1000000, H21&gt;=100000),"Macro",(IF(AND(H21&lt;100000, H21&gt;=10000),"Micro",(IF((H21&lt;10000),"Nano",("Check")))))))))))</f>
        <v>Micro</v>
      </c>
      <c r="J21" s="49">
        <f>L21/H21</f>
        <v>0.02037277147</v>
      </c>
      <c r="K21" s="50">
        <f>average(22600,17300,7273,3844,6892,941,43700,9285,13800,48400)</f>
        <v>17403.5</v>
      </c>
      <c r="L21" s="51">
        <f>1200+11+46</f>
        <v>1257</v>
      </c>
      <c r="M21" s="73" t="s">
        <v>35</v>
      </c>
      <c r="N21" s="53">
        <f t="shared" ref="N21:O21" si="26">U21</f>
        <v>1</v>
      </c>
      <c r="O21" s="54" t="str">
        <f t="shared" si="26"/>
        <v>TT Video</v>
      </c>
      <c r="P21" s="55">
        <f t="shared" si="3"/>
        <v>2900000</v>
      </c>
      <c r="Q21" s="56"/>
      <c r="R21" s="57" t="s">
        <v>72</v>
      </c>
      <c r="S21" s="58"/>
      <c r="T21" s="59"/>
      <c r="U21" s="68">
        <v>1.0</v>
      </c>
      <c r="V21" s="61" t="s">
        <v>37</v>
      </c>
      <c r="W21" s="62">
        <v>1500000.0</v>
      </c>
      <c r="X21" s="60">
        <f t="shared" si="4"/>
        <v>1500000</v>
      </c>
      <c r="Y21" s="63">
        <v>0.98</v>
      </c>
      <c r="Z21" s="64">
        <v>0.11</v>
      </c>
      <c r="AA21" s="65">
        <f t="shared" si="5"/>
        <v>1695612.245</v>
      </c>
      <c r="AB21" s="65">
        <f t="shared" si="6"/>
        <v>2826020.408</v>
      </c>
      <c r="AC21" s="65">
        <f t="shared" si="7"/>
        <v>2826020.408</v>
      </c>
      <c r="AD21" s="65">
        <f t="shared" si="8"/>
        <v>2900000</v>
      </c>
      <c r="AE21" s="66">
        <f t="shared" si="9"/>
        <v>0.4153061224</v>
      </c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53">
        <f t="shared" ref="N22:O22" si="27">U22</f>
        <v>1</v>
      </c>
      <c r="O22" s="54" t="str">
        <f t="shared" si="27"/>
        <v>Event attendance</v>
      </c>
      <c r="P22" s="55">
        <f t="shared" si="3"/>
        <v>0</v>
      </c>
      <c r="Q22" s="56"/>
      <c r="R22" s="35"/>
      <c r="S22" s="58" t="s">
        <v>42</v>
      </c>
      <c r="T22" s="59"/>
      <c r="U22" s="68">
        <v>1.0</v>
      </c>
      <c r="V22" s="61" t="s">
        <v>38</v>
      </c>
      <c r="W22" s="62">
        <v>0.0</v>
      </c>
      <c r="X22" s="60">
        <f t="shared" si="4"/>
        <v>0</v>
      </c>
      <c r="Y22" s="63">
        <v>0.98</v>
      </c>
      <c r="Z22" s="64">
        <v>0.11</v>
      </c>
      <c r="AA22" s="65">
        <f t="shared" si="5"/>
        <v>0</v>
      </c>
      <c r="AB22" s="65">
        <f t="shared" si="6"/>
        <v>0</v>
      </c>
      <c r="AC22" s="65">
        <f t="shared" si="7"/>
        <v>0</v>
      </c>
      <c r="AD22" s="65">
        <f t="shared" si="8"/>
        <v>0</v>
      </c>
      <c r="AE22" s="66" t="str">
        <f t="shared" si="9"/>
        <v>Calc Published Rate***)</v>
      </c>
    </row>
    <row r="23">
      <c r="A23" s="41">
        <v>10.0</v>
      </c>
      <c r="B23" s="42" t="s">
        <v>29</v>
      </c>
      <c r="C23" s="43" t="s">
        <v>30</v>
      </c>
      <c r="D23" s="44" t="s">
        <v>73</v>
      </c>
      <c r="E23" s="45" t="s">
        <v>74</v>
      </c>
      <c r="F23" s="46" t="s">
        <v>33</v>
      </c>
      <c r="G23" s="47" t="s">
        <v>34</v>
      </c>
      <c r="H23" s="48">
        <v>1961.0</v>
      </c>
      <c r="I23" s="48" t="str">
        <f>IF(ISBLANK(H23),,IF((H23&gt;=4000000),"Celebrity",(IF(AND(H23&lt;4000000, H23&gt;=1000000),"Mega",(IF(AND(H23&lt;1000000, H23&gt;=100000),"Macro",(IF(AND(H23&lt;100000, H23&gt;=10000),"Micro",(IF((H23&lt;10000),"Nano",("Check")))))))))))</f>
        <v>Nano</v>
      </c>
      <c r="J23" s="49">
        <f>L23/H23</f>
        <v>0</v>
      </c>
      <c r="K23" s="50"/>
      <c r="L23" s="51"/>
      <c r="M23" s="73" t="s">
        <v>35</v>
      </c>
      <c r="N23" s="53">
        <f t="shared" ref="N23:O23" si="28">U23</f>
        <v>1</v>
      </c>
      <c r="O23" s="54" t="str">
        <f t="shared" si="28"/>
        <v>TT Video</v>
      </c>
      <c r="P23" s="55">
        <f t="shared" si="3"/>
        <v>400000</v>
      </c>
      <c r="Q23" s="56"/>
      <c r="R23" s="56"/>
      <c r="S23" s="58"/>
      <c r="T23" s="59"/>
      <c r="U23" s="68">
        <v>1.0</v>
      </c>
      <c r="V23" s="61" t="s">
        <v>37</v>
      </c>
      <c r="W23" s="62">
        <v>200000.0</v>
      </c>
      <c r="X23" s="60">
        <f t="shared" si="4"/>
        <v>200000</v>
      </c>
      <c r="Y23" s="63">
        <v>0.98</v>
      </c>
      <c r="Z23" s="64">
        <v>0.11</v>
      </c>
      <c r="AA23" s="65">
        <f t="shared" si="5"/>
        <v>226081.6327</v>
      </c>
      <c r="AB23" s="65">
        <f t="shared" si="6"/>
        <v>376802.7211</v>
      </c>
      <c r="AC23" s="65">
        <f t="shared" si="7"/>
        <v>376802.7211</v>
      </c>
      <c r="AD23" s="65">
        <f t="shared" si="8"/>
        <v>400000</v>
      </c>
      <c r="AE23" s="66">
        <f t="shared" si="9"/>
        <v>0.4347959184</v>
      </c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53">
        <f t="shared" ref="N24:O24" si="29">U24</f>
        <v>1</v>
      </c>
      <c r="O24" s="54" t="str">
        <f t="shared" si="29"/>
        <v>Event attendance</v>
      </c>
      <c r="P24" s="55">
        <f t="shared" si="3"/>
        <v>0</v>
      </c>
      <c r="Q24" s="56"/>
      <c r="R24" s="56"/>
      <c r="S24" s="58"/>
      <c r="T24" s="59"/>
      <c r="U24" s="68">
        <v>1.0</v>
      </c>
      <c r="V24" s="61" t="s">
        <v>38</v>
      </c>
      <c r="W24" s="62">
        <v>0.0</v>
      </c>
      <c r="X24" s="60">
        <f t="shared" si="4"/>
        <v>0</v>
      </c>
      <c r="Y24" s="63">
        <v>0.98</v>
      </c>
      <c r="Z24" s="64">
        <v>0.11</v>
      </c>
      <c r="AA24" s="65">
        <f t="shared" si="5"/>
        <v>0</v>
      </c>
      <c r="AB24" s="65">
        <f t="shared" si="6"/>
        <v>0</v>
      </c>
      <c r="AC24" s="65">
        <f t="shared" si="7"/>
        <v>0</v>
      </c>
      <c r="AD24" s="65">
        <f t="shared" si="8"/>
        <v>0</v>
      </c>
      <c r="AE24" s="66" t="str">
        <f t="shared" si="9"/>
        <v>Calc Published Rate***)</v>
      </c>
    </row>
    <row r="25">
      <c r="A25" s="41">
        <v>11.0</v>
      </c>
      <c r="B25" s="42" t="s">
        <v>29</v>
      </c>
      <c r="C25" s="43" t="s">
        <v>39</v>
      </c>
      <c r="D25" s="44" t="s">
        <v>75</v>
      </c>
      <c r="E25" s="45" t="s">
        <v>76</v>
      </c>
      <c r="F25" s="46" t="s">
        <v>33</v>
      </c>
      <c r="G25" s="47" t="s">
        <v>34</v>
      </c>
      <c r="H25" s="48">
        <v>70400.0</v>
      </c>
      <c r="I25" s="48" t="str">
        <f>IF(ISBLANK(H25),,IF((H25&gt;=4000000),"Celebrity",(IF(AND(H25&lt;4000000, H25&gt;=1000000),"Mega",(IF(AND(H25&lt;1000000, H25&gt;=100000),"Macro",(IF(AND(H25&lt;100000, H25&gt;=10000),"Micro",(IF((H25&lt;10000),"Nano",("Check")))))))))))</f>
        <v>Micro</v>
      </c>
      <c r="J25" s="49">
        <f>L25/H25</f>
        <v>0.03880681818</v>
      </c>
      <c r="K25" s="50">
        <f>average(30100,27000,6005,6207,657800,508900,4525,15600,215300,558200)</f>
        <v>202963.7</v>
      </c>
      <c r="L25" s="51">
        <f>2600+52+80</f>
        <v>2732</v>
      </c>
      <c r="M25" s="73" t="s">
        <v>35</v>
      </c>
      <c r="N25" s="53">
        <f t="shared" ref="N25:O25" si="30">U25</f>
        <v>1</v>
      </c>
      <c r="O25" s="54" t="str">
        <f t="shared" si="30"/>
        <v>TT Video</v>
      </c>
      <c r="P25" s="55">
        <f t="shared" si="3"/>
        <v>3800000</v>
      </c>
      <c r="Q25" s="56"/>
      <c r="R25" s="57" t="s">
        <v>77</v>
      </c>
      <c r="S25" s="58"/>
      <c r="T25" s="59"/>
      <c r="U25" s="68">
        <v>1.0</v>
      </c>
      <c r="V25" s="61" t="s">
        <v>37</v>
      </c>
      <c r="W25" s="62">
        <v>2000000.0</v>
      </c>
      <c r="X25" s="60">
        <f t="shared" si="4"/>
        <v>2000000</v>
      </c>
      <c r="Y25" s="63">
        <v>0.98</v>
      </c>
      <c r="Z25" s="64">
        <v>0.11</v>
      </c>
      <c r="AA25" s="65">
        <f t="shared" si="5"/>
        <v>2260816.327</v>
      </c>
      <c r="AB25" s="65">
        <f t="shared" si="6"/>
        <v>3768027.211</v>
      </c>
      <c r="AC25" s="65">
        <f t="shared" si="7"/>
        <v>3768027.211</v>
      </c>
      <c r="AD25" s="65">
        <f t="shared" si="8"/>
        <v>3800000</v>
      </c>
      <c r="AE25" s="66">
        <f t="shared" si="9"/>
        <v>0.4050483351</v>
      </c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53">
        <f t="shared" ref="N26:O26" si="31">U26</f>
        <v>1</v>
      </c>
      <c r="O26" s="54" t="str">
        <f t="shared" si="31"/>
        <v>Event attendance</v>
      </c>
      <c r="P26" s="55">
        <f t="shared" si="3"/>
        <v>0</v>
      </c>
      <c r="Q26" s="56"/>
      <c r="R26" s="35"/>
      <c r="S26" s="58" t="s">
        <v>51</v>
      </c>
      <c r="T26" s="59"/>
      <c r="U26" s="68">
        <v>1.0</v>
      </c>
      <c r="V26" s="61" t="s">
        <v>38</v>
      </c>
      <c r="W26" s="62">
        <v>0.0</v>
      </c>
      <c r="X26" s="60">
        <f t="shared" si="4"/>
        <v>0</v>
      </c>
      <c r="Y26" s="63">
        <v>0.98</v>
      </c>
      <c r="Z26" s="64">
        <v>0.11</v>
      </c>
      <c r="AA26" s="65">
        <f t="shared" si="5"/>
        <v>0</v>
      </c>
      <c r="AB26" s="65">
        <f t="shared" si="6"/>
        <v>0</v>
      </c>
      <c r="AC26" s="65">
        <f t="shared" si="7"/>
        <v>0</v>
      </c>
      <c r="AD26" s="65">
        <f t="shared" si="8"/>
        <v>0</v>
      </c>
      <c r="AE26" s="66" t="str">
        <f t="shared" si="9"/>
        <v>Calc Published Rate***)</v>
      </c>
    </row>
    <row r="27">
      <c r="A27" s="41">
        <v>12.0</v>
      </c>
      <c r="B27" s="42" t="s">
        <v>29</v>
      </c>
      <c r="C27" s="43" t="s">
        <v>39</v>
      </c>
      <c r="D27" s="44" t="s">
        <v>78</v>
      </c>
      <c r="E27" s="45" t="s">
        <v>79</v>
      </c>
      <c r="F27" s="46" t="s">
        <v>33</v>
      </c>
      <c r="G27" s="47" t="s">
        <v>34</v>
      </c>
      <c r="H27" s="48">
        <v>27000.0</v>
      </c>
      <c r="I27" s="48" t="str">
        <f>IF(ISBLANK(H27),,IF((H27&gt;=4000000),"Celebrity",(IF(AND(H27&lt;4000000, H27&gt;=1000000),"Mega",(IF(AND(H27&lt;1000000, H27&gt;=100000),"Macro",(IF(AND(H27&lt;100000, H27&gt;=10000),"Micro",(IF((H27&lt;10000),"Nano",("Check")))))))))))</f>
        <v>Micro</v>
      </c>
      <c r="J27" s="49">
        <f>L27/H27</f>
        <v>0.02159259259</v>
      </c>
      <c r="K27" s="50">
        <v>9600.0</v>
      </c>
      <c r="L27" s="51">
        <f>519+14+50</f>
        <v>583</v>
      </c>
      <c r="M27" s="73" t="s">
        <v>35</v>
      </c>
      <c r="N27" s="53">
        <f t="shared" ref="N27:O27" si="32">U27</f>
        <v>1</v>
      </c>
      <c r="O27" s="54" t="str">
        <f t="shared" si="32"/>
        <v>TT Video</v>
      </c>
      <c r="P27" s="55">
        <f t="shared" si="3"/>
        <v>2400000</v>
      </c>
      <c r="Q27" s="56"/>
      <c r="R27" s="56"/>
      <c r="S27" s="58"/>
      <c r="T27" s="59"/>
      <c r="U27" s="68">
        <v>1.0</v>
      </c>
      <c r="V27" s="61" t="s">
        <v>37</v>
      </c>
      <c r="W27" s="62">
        <v>1250000.0</v>
      </c>
      <c r="X27" s="60">
        <f t="shared" si="4"/>
        <v>1250000</v>
      </c>
      <c r="Y27" s="63">
        <v>0.98</v>
      </c>
      <c r="Z27" s="64">
        <v>0.11</v>
      </c>
      <c r="AA27" s="65">
        <f t="shared" si="5"/>
        <v>1413010.204</v>
      </c>
      <c r="AB27" s="65">
        <f t="shared" si="6"/>
        <v>2355017.007</v>
      </c>
      <c r="AC27" s="65">
        <f t="shared" si="7"/>
        <v>2355017.007</v>
      </c>
      <c r="AD27" s="65">
        <f t="shared" si="8"/>
        <v>2400000</v>
      </c>
      <c r="AE27" s="66">
        <f t="shared" si="9"/>
        <v>0.4112457483</v>
      </c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53">
        <f t="shared" ref="N28:O28" si="33">U28</f>
        <v>1</v>
      </c>
      <c r="O28" s="54" t="str">
        <f t="shared" si="33"/>
        <v>Event attendance</v>
      </c>
      <c r="P28" s="55">
        <f t="shared" si="3"/>
        <v>600000</v>
      </c>
      <c r="Q28" s="56"/>
      <c r="R28" s="56"/>
      <c r="S28" s="58"/>
      <c r="T28" s="59"/>
      <c r="U28" s="68">
        <v>1.0</v>
      </c>
      <c r="V28" s="61" t="s">
        <v>38</v>
      </c>
      <c r="W28" s="62">
        <v>300000.0</v>
      </c>
      <c r="X28" s="60">
        <f t="shared" si="4"/>
        <v>300000</v>
      </c>
      <c r="Y28" s="63">
        <v>0.98</v>
      </c>
      <c r="Z28" s="64">
        <v>0.11</v>
      </c>
      <c r="AA28" s="65">
        <f t="shared" si="5"/>
        <v>339122.449</v>
      </c>
      <c r="AB28" s="65">
        <f t="shared" si="6"/>
        <v>565204.0816</v>
      </c>
      <c r="AC28" s="65">
        <f t="shared" si="7"/>
        <v>565204.0816</v>
      </c>
      <c r="AD28" s="65">
        <f t="shared" si="8"/>
        <v>600000</v>
      </c>
      <c r="AE28" s="66">
        <f t="shared" si="9"/>
        <v>0.4347959184</v>
      </c>
    </row>
    <row r="29">
      <c r="A29" s="41">
        <v>13.0</v>
      </c>
      <c r="B29" s="42" t="s">
        <v>29</v>
      </c>
      <c r="C29" s="43" t="s">
        <v>30</v>
      </c>
      <c r="D29" s="44" t="s">
        <v>80</v>
      </c>
      <c r="E29" s="45" t="s">
        <v>81</v>
      </c>
      <c r="F29" s="46" t="s">
        <v>33</v>
      </c>
      <c r="G29" s="47" t="s">
        <v>34</v>
      </c>
      <c r="H29" s="48">
        <v>9585.0</v>
      </c>
      <c r="I29" s="48" t="str">
        <f>IF(ISBLANK(H29),,IF((H29&gt;=4000000),"Celebrity",(IF(AND(H29&lt;4000000, H29&gt;=1000000),"Mega",(IF(AND(H29&lt;1000000, H29&gt;=100000),"Macro",(IF(AND(H29&lt;100000, H29&gt;=10000),"Micro",(IF((H29&lt;10000),"Nano",("Check")))))))))))</f>
        <v>Nano</v>
      </c>
      <c r="J29" s="49">
        <f>L29/H29</f>
        <v>0.1759415754</v>
      </c>
      <c r="K29" s="50">
        <f>average(4646,241600,17100,8963,79900,400000,1146,4642,3421,4694)</f>
        <v>76611.2</v>
      </c>
      <c r="L29" s="51">
        <f>average(86+9+6+5,2425+20+239+420,985+45+39+26,683+17+42+32,1415+45+92+158,6541+97+416+1412,29+9+7+7,685+12+32+29,180+11+17+20,487+30+31+23)</f>
        <v>1686.4</v>
      </c>
      <c r="M29" s="73" t="s">
        <v>35</v>
      </c>
      <c r="N29" s="53">
        <f t="shared" ref="N29:O29" si="34">U29</f>
        <v>1</v>
      </c>
      <c r="O29" s="54" t="str">
        <f t="shared" si="34"/>
        <v>TT Video</v>
      </c>
      <c r="P29" s="55">
        <f t="shared" si="3"/>
        <v>1400000</v>
      </c>
      <c r="Q29" s="56"/>
      <c r="R29" s="56"/>
      <c r="S29" s="58" t="s">
        <v>82</v>
      </c>
      <c r="T29" s="59"/>
      <c r="U29" s="68">
        <v>1.0</v>
      </c>
      <c r="V29" s="61" t="s">
        <v>37</v>
      </c>
      <c r="W29" s="62">
        <v>700000.0</v>
      </c>
      <c r="X29" s="60">
        <f t="shared" si="4"/>
        <v>700000</v>
      </c>
      <c r="Y29" s="63">
        <v>0.98</v>
      </c>
      <c r="Z29" s="64">
        <v>0.11</v>
      </c>
      <c r="AA29" s="65">
        <f t="shared" si="5"/>
        <v>791285.7143</v>
      </c>
      <c r="AB29" s="65">
        <f t="shared" si="6"/>
        <v>1318809.524</v>
      </c>
      <c r="AC29" s="65">
        <f t="shared" si="7"/>
        <v>1318809.524</v>
      </c>
      <c r="AD29" s="65">
        <f t="shared" si="8"/>
        <v>1400000</v>
      </c>
      <c r="AE29" s="66">
        <f t="shared" si="9"/>
        <v>0.4347959184</v>
      </c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53">
        <f t="shared" ref="N30:O30" si="35">U30</f>
        <v>1</v>
      </c>
      <c r="O30" s="54" t="str">
        <f t="shared" si="35"/>
        <v>Event attendance</v>
      </c>
      <c r="P30" s="55">
        <f t="shared" si="3"/>
        <v>0</v>
      </c>
      <c r="Q30" s="56"/>
      <c r="R30" s="56"/>
      <c r="S30" s="58" t="s">
        <v>83</v>
      </c>
      <c r="T30" s="59"/>
      <c r="U30" s="68">
        <v>1.0</v>
      </c>
      <c r="V30" s="61" t="s">
        <v>38</v>
      </c>
      <c r="W30" s="62">
        <v>0.0</v>
      </c>
      <c r="X30" s="60">
        <f t="shared" si="4"/>
        <v>0</v>
      </c>
      <c r="Y30" s="63">
        <v>0.98</v>
      </c>
      <c r="Z30" s="64">
        <v>0.11</v>
      </c>
      <c r="AA30" s="65">
        <f t="shared" si="5"/>
        <v>0</v>
      </c>
      <c r="AB30" s="65">
        <f t="shared" si="6"/>
        <v>0</v>
      </c>
      <c r="AC30" s="65">
        <f t="shared" si="7"/>
        <v>0</v>
      </c>
      <c r="AD30" s="65">
        <f t="shared" si="8"/>
        <v>0</v>
      </c>
      <c r="AE30" s="66" t="str">
        <f t="shared" si="9"/>
        <v>Calc Published Rate***)</v>
      </c>
    </row>
    <row r="31">
      <c r="A31" s="41">
        <v>14.0</v>
      </c>
      <c r="B31" s="42" t="s">
        <v>29</v>
      </c>
      <c r="C31" s="43" t="s">
        <v>30</v>
      </c>
      <c r="D31" s="44" t="s">
        <v>84</v>
      </c>
      <c r="E31" s="45" t="s">
        <v>85</v>
      </c>
      <c r="F31" s="46" t="s">
        <v>33</v>
      </c>
      <c r="G31" s="47" t="s">
        <v>86</v>
      </c>
      <c r="H31" s="48">
        <v>7545.0</v>
      </c>
      <c r="I31" s="48" t="str">
        <f>IF(ISBLANK(H31),,IF((H31&gt;=4000000),"Celebrity",(IF(AND(H31&lt;4000000, H31&gt;=1000000),"Mega",(IF(AND(H31&lt;1000000, H31&gt;=100000),"Macro",(IF(AND(H31&lt;100000, H31&gt;=10000),"Micro",(IF((H31&lt;10000),"Nano",("Check")))))))))))</f>
        <v>Nano</v>
      </c>
      <c r="J31" s="49">
        <f>L31/H31</f>
        <v>3.467329357</v>
      </c>
      <c r="K31" s="50">
        <v>312600.0</v>
      </c>
      <c r="L31" s="51">
        <f>23600+261+2300</f>
        <v>26161</v>
      </c>
      <c r="M31" s="73" t="s">
        <v>35</v>
      </c>
      <c r="N31" s="53">
        <f t="shared" ref="N31:O31" si="36">U31</f>
        <v>1</v>
      </c>
      <c r="O31" s="54" t="str">
        <f t="shared" si="36"/>
        <v>TT Video</v>
      </c>
      <c r="P31" s="55">
        <f t="shared" si="3"/>
        <v>3400000</v>
      </c>
      <c r="Q31" s="56"/>
      <c r="R31" s="57" t="s">
        <v>87</v>
      </c>
      <c r="S31" s="88" t="s">
        <v>88</v>
      </c>
      <c r="T31" s="59"/>
      <c r="U31" s="68">
        <v>1.0</v>
      </c>
      <c r="V31" s="61" t="s">
        <v>37</v>
      </c>
      <c r="W31" s="62">
        <v>1800000.0</v>
      </c>
      <c r="X31" s="60">
        <f t="shared" si="4"/>
        <v>1800000</v>
      </c>
      <c r="Y31" s="63">
        <v>0.98</v>
      </c>
      <c r="Z31" s="64">
        <v>0.11</v>
      </c>
      <c r="AA31" s="65">
        <f t="shared" si="5"/>
        <v>2034734.694</v>
      </c>
      <c r="AB31" s="65">
        <f t="shared" si="6"/>
        <v>3391224.49</v>
      </c>
      <c r="AC31" s="65">
        <f t="shared" si="7"/>
        <v>3391224.49</v>
      </c>
      <c r="AD31" s="65">
        <f t="shared" si="8"/>
        <v>3400000</v>
      </c>
      <c r="AE31" s="66">
        <f t="shared" si="9"/>
        <v>0.4015486194</v>
      </c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3">
        <f t="shared" ref="N32:O32" si="37">U32</f>
        <v>1</v>
      </c>
      <c r="O32" s="54" t="str">
        <f t="shared" si="37"/>
        <v>Event attendance</v>
      </c>
      <c r="P32" s="55">
        <f t="shared" si="3"/>
        <v>1000000</v>
      </c>
      <c r="Q32" s="56"/>
      <c r="R32" s="35"/>
      <c r="S32" s="35"/>
      <c r="T32" s="59"/>
      <c r="U32" s="68">
        <v>1.0</v>
      </c>
      <c r="V32" s="61" t="s">
        <v>38</v>
      </c>
      <c r="W32" s="62">
        <v>500000.0</v>
      </c>
      <c r="X32" s="60">
        <f t="shared" si="4"/>
        <v>500000</v>
      </c>
      <c r="Y32" s="63">
        <v>0.98</v>
      </c>
      <c r="Z32" s="64">
        <v>0.11</v>
      </c>
      <c r="AA32" s="65">
        <f t="shared" si="5"/>
        <v>565204.0816</v>
      </c>
      <c r="AB32" s="65">
        <f t="shared" si="6"/>
        <v>942006.8027</v>
      </c>
      <c r="AC32" s="65">
        <f t="shared" si="7"/>
        <v>942006.8027</v>
      </c>
      <c r="AD32" s="65">
        <f t="shared" si="8"/>
        <v>1000000</v>
      </c>
      <c r="AE32" s="66">
        <f t="shared" si="9"/>
        <v>0.4347959184</v>
      </c>
    </row>
    <row r="33">
      <c r="A33" s="41">
        <v>15.0</v>
      </c>
      <c r="B33" s="42" t="s">
        <v>29</v>
      </c>
      <c r="C33" s="43" t="s">
        <v>63</v>
      </c>
      <c r="D33" s="44" t="s">
        <v>89</v>
      </c>
      <c r="E33" s="45" t="s">
        <v>90</v>
      </c>
      <c r="F33" s="46" t="s">
        <v>33</v>
      </c>
      <c r="G33" s="47" t="s">
        <v>86</v>
      </c>
      <c r="H33" s="48">
        <v>81700.0</v>
      </c>
      <c r="I33" s="48" t="str">
        <f>IF(ISBLANK(H33),,IF((H33&gt;=4000000),"Celebrity",(IF(AND(H33&lt;4000000, H33&gt;=1000000),"Mega",(IF(AND(H33&lt;1000000, H33&gt;=100000),"Macro",(IF(AND(H33&lt;100000, H33&gt;=10000),"Micro",(IF((H33&lt;10000),"Nano",("Check")))))))))))</f>
        <v>Micro</v>
      </c>
      <c r="J33" s="49">
        <f>L33/H33</f>
        <v>0.08067319461</v>
      </c>
      <c r="K33" s="50">
        <v>233600.0</v>
      </c>
      <c r="L33" s="51">
        <f>6000+132+459</f>
        <v>6591</v>
      </c>
      <c r="M33" s="73" t="s">
        <v>35</v>
      </c>
      <c r="N33" s="53">
        <f t="shared" ref="N33:O33" si="38">U33</f>
        <v>1</v>
      </c>
      <c r="O33" s="54" t="str">
        <f t="shared" si="38"/>
        <v>TT Video</v>
      </c>
      <c r="P33" s="55">
        <f t="shared" si="3"/>
        <v>2300000</v>
      </c>
      <c r="Q33" s="57" t="s">
        <v>91</v>
      </c>
      <c r="R33" s="57" t="s">
        <v>92</v>
      </c>
      <c r="S33" s="57"/>
      <c r="T33" s="59"/>
      <c r="U33" s="68">
        <v>1.0</v>
      </c>
      <c r="V33" s="61" t="s">
        <v>37</v>
      </c>
      <c r="W33" s="62">
        <v>1200000.0</v>
      </c>
      <c r="X33" s="60">
        <f t="shared" si="4"/>
        <v>1200000</v>
      </c>
      <c r="Y33" s="63">
        <v>0.98</v>
      </c>
      <c r="Z33" s="64">
        <v>0.11</v>
      </c>
      <c r="AA33" s="65">
        <f t="shared" si="5"/>
        <v>1356489.796</v>
      </c>
      <c r="AB33" s="65">
        <f t="shared" si="6"/>
        <v>2260816.327</v>
      </c>
      <c r="AC33" s="65">
        <f t="shared" si="7"/>
        <v>2260816.327</v>
      </c>
      <c r="AD33" s="65">
        <f t="shared" si="8"/>
        <v>2300000</v>
      </c>
      <c r="AE33" s="66">
        <f t="shared" si="9"/>
        <v>0.4102218279</v>
      </c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3">
        <f t="shared" ref="N34:O34" si="39">U34</f>
        <v>1</v>
      </c>
      <c r="O34" s="54" t="str">
        <f t="shared" si="39"/>
        <v>Event attendance</v>
      </c>
      <c r="P34" s="55">
        <f t="shared" si="3"/>
        <v>3100000</v>
      </c>
      <c r="Q34" s="35"/>
      <c r="R34" s="35"/>
      <c r="S34" s="35"/>
      <c r="T34" s="59"/>
      <c r="U34" s="68">
        <v>1.0</v>
      </c>
      <c r="V34" s="61" t="s">
        <v>38</v>
      </c>
      <c r="W34" s="62">
        <v>1600000.0</v>
      </c>
      <c r="X34" s="60">
        <f t="shared" si="4"/>
        <v>1600000</v>
      </c>
      <c r="Y34" s="63">
        <v>0.98</v>
      </c>
      <c r="Z34" s="64">
        <v>0.11</v>
      </c>
      <c r="AA34" s="65">
        <f t="shared" si="5"/>
        <v>1808653.061</v>
      </c>
      <c r="AB34" s="65">
        <f t="shared" si="6"/>
        <v>3014421.769</v>
      </c>
      <c r="AC34" s="65">
        <f t="shared" si="7"/>
        <v>3014421.769</v>
      </c>
      <c r="AD34" s="65">
        <f t="shared" si="8"/>
        <v>3100000</v>
      </c>
      <c r="AE34" s="66">
        <f t="shared" si="9"/>
        <v>0.4165635286</v>
      </c>
    </row>
    <row r="35">
      <c r="A35" s="41">
        <v>16.0</v>
      </c>
      <c r="B35" s="42" t="s">
        <v>29</v>
      </c>
      <c r="C35" s="43" t="s">
        <v>39</v>
      </c>
      <c r="D35" s="44" t="s">
        <v>93</v>
      </c>
      <c r="E35" s="45" t="s">
        <v>94</v>
      </c>
      <c r="F35" s="46" t="s">
        <v>33</v>
      </c>
      <c r="G35" s="47" t="s">
        <v>58</v>
      </c>
      <c r="H35" s="47">
        <v>10100.0</v>
      </c>
      <c r="I35" s="48" t="str">
        <f>IF(ISBLANK(H35),,IF((H35&gt;=4000000),"Celebrity",(IF(AND(H35&lt;4000000, H35&gt;=1000000),"Mega",(IF(AND(H35&lt;1000000, H35&gt;=100000),"Macro",(IF(AND(H35&lt;100000, H35&gt;=10000),"Micro",(IF((H35&lt;10000),"Nano",("Check")))))))))))</f>
        <v>Micro</v>
      </c>
      <c r="J35" s="49">
        <f>L35/H35</f>
        <v>0.07089108911</v>
      </c>
      <c r="K35" s="50">
        <f>average(2245,1524,3822,1305,3355,27900,5042,1609,3809,1992)</f>
        <v>5260.3</v>
      </c>
      <c r="L35" s="51">
        <f>640+25+51</f>
        <v>716</v>
      </c>
      <c r="M35" s="73" t="s">
        <v>35</v>
      </c>
      <c r="N35" s="53">
        <f t="shared" ref="N35:O35" si="40">U35</f>
        <v>1</v>
      </c>
      <c r="O35" s="54" t="str">
        <f t="shared" si="40"/>
        <v>TT Video</v>
      </c>
      <c r="P35" s="55">
        <f t="shared" si="3"/>
        <v>1700000</v>
      </c>
      <c r="Q35" s="89"/>
      <c r="R35" s="57" t="s">
        <v>59</v>
      </c>
      <c r="S35" s="58" t="s">
        <v>95</v>
      </c>
      <c r="T35" s="59"/>
      <c r="U35" s="68">
        <v>1.0</v>
      </c>
      <c r="V35" s="61" t="s">
        <v>37</v>
      </c>
      <c r="W35" s="62">
        <v>900000.0</v>
      </c>
      <c r="X35" s="60">
        <f t="shared" si="4"/>
        <v>900000</v>
      </c>
      <c r="Y35" s="63">
        <v>0.98</v>
      </c>
      <c r="Z35" s="64">
        <v>0.11</v>
      </c>
      <c r="AA35" s="65">
        <f t="shared" si="5"/>
        <v>1017367.347</v>
      </c>
      <c r="AB35" s="65">
        <f t="shared" si="6"/>
        <v>1695612.245</v>
      </c>
      <c r="AC35" s="65">
        <f t="shared" si="7"/>
        <v>1695612.245</v>
      </c>
      <c r="AD35" s="65">
        <f t="shared" si="8"/>
        <v>1700000</v>
      </c>
      <c r="AE35" s="66">
        <f t="shared" si="9"/>
        <v>0.4015486194</v>
      </c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3">
        <f t="shared" ref="N36:O36" si="41">U36</f>
        <v>1</v>
      </c>
      <c r="O36" s="54" t="str">
        <f t="shared" si="41"/>
        <v>Event attendance</v>
      </c>
      <c r="P36" s="55">
        <f t="shared" si="3"/>
        <v>0</v>
      </c>
      <c r="Q36" s="35"/>
      <c r="R36" s="35"/>
      <c r="S36" s="58" t="s">
        <v>96</v>
      </c>
      <c r="T36" s="59"/>
      <c r="U36" s="68">
        <v>1.0</v>
      </c>
      <c r="V36" s="61" t="s">
        <v>38</v>
      </c>
      <c r="W36" s="62">
        <v>0.0</v>
      </c>
      <c r="X36" s="60">
        <f t="shared" si="4"/>
        <v>0</v>
      </c>
      <c r="Y36" s="63">
        <v>0.98</v>
      </c>
      <c r="Z36" s="64">
        <v>0.11</v>
      </c>
      <c r="AA36" s="65">
        <f t="shared" si="5"/>
        <v>0</v>
      </c>
      <c r="AB36" s="65">
        <f t="shared" si="6"/>
        <v>0</v>
      </c>
      <c r="AC36" s="65">
        <f t="shared" si="7"/>
        <v>0</v>
      </c>
      <c r="AD36" s="65">
        <f t="shared" si="8"/>
        <v>0</v>
      </c>
      <c r="AE36" s="66" t="str">
        <f t="shared" si="9"/>
        <v>Calc Published Rate***)</v>
      </c>
    </row>
    <row r="37">
      <c r="A37" s="41">
        <v>17.0</v>
      </c>
      <c r="B37" s="42" t="s">
        <v>29</v>
      </c>
      <c r="C37" s="43" t="s">
        <v>39</v>
      </c>
      <c r="D37" s="44" t="s">
        <v>97</v>
      </c>
      <c r="E37" s="45" t="s">
        <v>94</v>
      </c>
      <c r="F37" s="46" t="s">
        <v>33</v>
      </c>
      <c r="G37" s="47" t="s">
        <v>58</v>
      </c>
      <c r="H37" s="47">
        <v>5067.0</v>
      </c>
      <c r="I37" s="48" t="str">
        <f>IF(ISBLANK(H37),,IF((H37&gt;=4000000),"Celebrity",(IF(AND(H37&lt;4000000, H37&gt;=1000000),"Mega",(IF(AND(H37&lt;1000000, H37&gt;=100000),"Macro",(IF(AND(H37&lt;100000, H37&gt;=10000),"Micro",(IF((H37&lt;10000),"Nano",("Check")))))))))))</f>
        <v>Nano</v>
      </c>
      <c r="J37" s="49">
        <f>L37/H37</f>
        <v>0.02486678508</v>
      </c>
      <c r="K37" s="50">
        <v>892.0</v>
      </c>
      <c r="L37" s="51">
        <f>114+8+4</f>
        <v>126</v>
      </c>
      <c r="M37" s="73" t="s">
        <v>35</v>
      </c>
      <c r="N37" s="53">
        <f t="shared" ref="N37:O37" si="42">U37</f>
        <v>1</v>
      </c>
      <c r="O37" s="54" t="str">
        <f t="shared" si="42"/>
        <v>TT Video</v>
      </c>
      <c r="P37" s="55">
        <f t="shared" si="3"/>
        <v>1000000</v>
      </c>
      <c r="Q37" s="89"/>
      <c r="R37" s="57" t="s">
        <v>98</v>
      </c>
      <c r="S37" s="58"/>
      <c r="T37" s="59"/>
      <c r="U37" s="68">
        <v>1.0</v>
      </c>
      <c r="V37" s="61" t="s">
        <v>37</v>
      </c>
      <c r="W37" s="62">
        <v>500000.0</v>
      </c>
      <c r="X37" s="60">
        <f t="shared" si="4"/>
        <v>500000</v>
      </c>
      <c r="Y37" s="63">
        <v>0.98</v>
      </c>
      <c r="Z37" s="64">
        <v>0.11</v>
      </c>
      <c r="AA37" s="65">
        <f t="shared" si="5"/>
        <v>565204.0816</v>
      </c>
      <c r="AB37" s="65">
        <f t="shared" si="6"/>
        <v>942006.8027</v>
      </c>
      <c r="AC37" s="65">
        <f t="shared" si="7"/>
        <v>942006.8027</v>
      </c>
      <c r="AD37" s="65">
        <f t="shared" si="8"/>
        <v>1000000</v>
      </c>
      <c r="AE37" s="66">
        <f t="shared" si="9"/>
        <v>0.4347959184</v>
      </c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3">
        <f t="shared" ref="N38:O38" si="43">U38</f>
        <v>1</v>
      </c>
      <c r="O38" s="54" t="str">
        <f t="shared" si="43"/>
        <v>Event attendance</v>
      </c>
      <c r="P38" s="55">
        <f t="shared" si="3"/>
        <v>300000</v>
      </c>
      <c r="Q38" s="35"/>
      <c r="R38" s="35"/>
      <c r="S38" s="58" t="s">
        <v>99</v>
      </c>
      <c r="T38" s="59"/>
      <c r="U38" s="68">
        <v>1.0</v>
      </c>
      <c r="V38" s="61" t="s">
        <v>38</v>
      </c>
      <c r="W38" s="62">
        <v>150000.0</v>
      </c>
      <c r="X38" s="60">
        <f t="shared" si="4"/>
        <v>150000</v>
      </c>
      <c r="Y38" s="63">
        <v>0.98</v>
      </c>
      <c r="Z38" s="64">
        <v>0.11</v>
      </c>
      <c r="AA38" s="65">
        <f t="shared" si="5"/>
        <v>169561.2245</v>
      </c>
      <c r="AB38" s="65">
        <f t="shared" si="6"/>
        <v>282602.0408</v>
      </c>
      <c r="AC38" s="65">
        <f t="shared" si="7"/>
        <v>282602.0408</v>
      </c>
      <c r="AD38" s="65">
        <f t="shared" si="8"/>
        <v>300000</v>
      </c>
      <c r="AE38" s="66">
        <f t="shared" si="9"/>
        <v>0.4347959184</v>
      </c>
    </row>
    <row r="39">
      <c r="A39" s="41">
        <v>18.0</v>
      </c>
      <c r="B39" s="42" t="s">
        <v>29</v>
      </c>
      <c r="C39" s="43" t="s">
        <v>39</v>
      </c>
      <c r="D39" s="44" t="s">
        <v>100</v>
      </c>
      <c r="E39" s="45" t="s">
        <v>101</v>
      </c>
      <c r="F39" s="46" t="s">
        <v>33</v>
      </c>
      <c r="G39" s="47" t="s">
        <v>58</v>
      </c>
      <c r="H39" s="47">
        <v>31300.0</v>
      </c>
      <c r="I39" s="48" t="str">
        <f>IF(ISBLANK(H39),,IF((H39&gt;=4000000),"Celebrity",(IF(AND(H39&lt;4000000, H39&gt;=1000000),"Mega",(IF(AND(H39&lt;1000000, H39&gt;=100000),"Macro",(IF(AND(H39&lt;100000, H39&gt;=10000),"Micro",(IF((H39&lt;10000),"Nano",("Check")))))))))))</f>
        <v>Micro</v>
      </c>
      <c r="J39" s="49">
        <f>L39/H39</f>
        <v>0.02223642173</v>
      </c>
      <c r="K39" s="50">
        <v>7700.0</v>
      </c>
      <c r="L39" s="50">
        <f>656+15+25</f>
        <v>696</v>
      </c>
      <c r="M39" s="73" t="s">
        <v>35</v>
      </c>
      <c r="N39" s="53">
        <f t="shared" ref="N39:O39" si="44">U39</f>
        <v>1</v>
      </c>
      <c r="O39" s="54" t="str">
        <f t="shared" si="44"/>
        <v>TT Video</v>
      </c>
      <c r="P39" s="55">
        <f t="shared" si="3"/>
        <v>1000000</v>
      </c>
      <c r="Q39" s="89"/>
      <c r="R39" s="57" t="s">
        <v>102</v>
      </c>
      <c r="S39" s="58" t="s">
        <v>103</v>
      </c>
      <c r="T39" s="59"/>
      <c r="U39" s="68">
        <v>1.0</v>
      </c>
      <c r="V39" s="61" t="s">
        <v>37</v>
      </c>
      <c r="W39" s="62">
        <v>500000.0</v>
      </c>
      <c r="X39" s="60">
        <f t="shared" si="4"/>
        <v>500000</v>
      </c>
      <c r="Y39" s="63">
        <v>0.98</v>
      </c>
      <c r="Z39" s="64">
        <v>0.11</v>
      </c>
      <c r="AA39" s="65">
        <f t="shared" si="5"/>
        <v>565204.0816</v>
      </c>
      <c r="AB39" s="65">
        <f t="shared" si="6"/>
        <v>942006.8027</v>
      </c>
      <c r="AC39" s="65">
        <f t="shared" si="7"/>
        <v>942006.8027</v>
      </c>
      <c r="AD39" s="65">
        <f t="shared" si="8"/>
        <v>1000000</v>
      </c>
      <c r="AE39" s="66">
        <f t="shared" si="9"/>
        <v>0.4347959184</v>
      </c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53">
        <f t="shared" ref="N40:O40" si="45">U40</f>
        <v>1</v>
      </c>
      <c r="O40" s="54" t="str">
        <f t="shared" si="45"/>
        <v>Event attendance</v>
      </c>
      <c r="P40" s="55">
        <f t="shared" si="3"/>
        <v>3800000</v>
      </c>
      <c r="Q40" s="35"/>
      <c r="R40" s="35"/>
      <c r="S40" s="58" t="s">
        <v>104</v>
      </c>
      <c r="T40" s="59"/>
      <c r="U40" s="68">
        <v>1.0</v>
      </c>
      <c r="V40" s="61" t="s">
        <v>38</v>
      </c>
      <c r="W40" s="62">
        <v>2000000.0</v>
      </c>
      <c r="X40" s="60">
        <f t="shared" si="4"/>
        <v>2000000</v>
      </c>
      <c r="Y40" s="63">
        <v>0.98</v>
      </c>
      <c r="Z40" s="64">
        <v>0.11</v>
      </c>
      <c r="AA40" s="65">
        <f t="shared" si="5"/>
        <v>2260816.327</v>
      </c>
      <c r="AB40" s="65">
        <f t="shared" si="6"/>
        <v>3768027.211</v>
      </c>
      <c r="AC40" s="65">
        <f t="shared" si="7"/>
        <v>3768027.211</v>
      </c>
      <c r="AD40" s="65">
        <f t="shared" si="8"/>
        <v>3800000</v>
      </c>
      <c r="AE40" s="66">
        <f t="shared" si="9"/>
        <v>0.4050483351</v>
      </c>
    </row>
    <row r="41">
      <c r="A41" s="41">
        <v>19.0</v>
      </c>
      <c r="B41" s="42" t="s">
        <v>29</v>
      </c>
      <c r="C41" s="43" t="s">
        <v>30</v>
      </c>
      <c r="D41" s="44" t="s">
        <v>105</v>
      </c>
      <c r="E41" s="45" t="s">
        <v>106</v>
      </c>
      <c r="F41" s="46" t="s">
        <v>33</v>
      </c>
      <c r="G41" s="47" t="s">
        <v>107</v>
      </c>
      <c r="H41" s="47">
        <v>22600.0</v>
      </c>
      <c r="I41" s="48" t="str">
        <f>IF(ISBLANK(H41),,IF((H41&gt;=4000000),"Celebrity",(IF(AND(H41&lt;4000000, H41&gt;=1000000),"Mega",(IF(AND(H41&lt;1000000, H41&gt;=100000),"Macro",(IF(AND(H41&lt;100000, H41&gt;=10000),"Micro",(IF((H41&lt;10000),"Nano",("Check")))))))))))</f>
        <v>Micro</v>
      </c>
      <c r="J41" s="49">
        <f>L41/H41</f>
        <v>0.005088495575</v>
      </c>
      <c r="K41" s="50">
        <v>3600.0</v>
      </c>
      <c r="L41" s="50">
        <f>111+2+2</f>
        <v>115</v>
      </c>
      <c r="M41" s="73" t="s">
        <v>35</v>
      </c>
      <c r="N41" s="53">
        <f t="shared" ref="N41:O41" si="46">U41</f>
        <v>1</v>
      </c>
      <c r="O41" s="54" t="str">
        <f t="shared" si="46"/>
        <v>TT Video</v>
      </c>
      <c r="P41" s="55">
        <f t="shared" si="3"/>
        <v>1200000</v>
      </c>
      <c r="Q41" s="89"/>
      <c r="R41" s="57" t="s">
        <v>108</v>
      </c>
      <c r="S41" s="58"/>
      <c r="T41" s="59"/>
      <c r="U41" s="68">
        <v>1.0</v>
      </c>
      <c r="V41" s="61" t="s">
        <v>37</v>
      </c>
      <c r="W41" s="62">
        <v>600000.0</v>
      </c>
      <c r="X41" s="60">
        <f t="shared" si="4"/>
        <v>600000</v>
      </c>
      <c r="Y41" s="63">
        <v>0.98</v>
      </c>
      <c r="Z41" s="64">
        <v>0.11</v>
      </c>
      <c r="AA41" s="65">
        <f t="shared" si="5"/>
        <v>678244.898</v>
      </c>
      <c r="AB41" s="65">
        <f t="shared" si="6"/>
        <v>1130408.163</v>
      </c>
      <c r="AC41" s="65">
        <f t="shared" si="7"/>
        <v>1130408.163</v>
      </c>
      <c r="AD41" s="65">
        <f t="shared" si="8"/>
        <v>1200000</v>
      </c>
      <c r="AE41" s="66">
        <f t="shared" si="9"/>
        <v>0.4347959184</v>
      </c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53">
        <f t="shared" ref="N42:O42" si="47">U42</f>
        <v>1</v>
      </c>
      <c r="O42" s="54" t="str">
        <f t="shared" si="47"/>
        <v>Event attendance</v>
      </c>
      <c r="P42" s="55">
        <f t="shared" si="3"/>
        <v>2900000</v>
      </c>
      <c r="Q42" s="35"/>
      <c r="R42" s="35"/>
      <c r="S42" s="58" t="s">
        <v>109</v>
      </c>
      <c r="T42" s="59"/>
      <c r="U42" s="68">
        <v>1.0</v>
      </c>
      <c r="V42" s="61" t="s">
        <v>38</v>
      </c>
      <c r="W42" s="62">
        <v>1500000.0</v>
      </c>
      <c r="X42" s="60">
        <f t="shared" si="4"/>
        <v>1500000</v>
      </c>
      <c r="Y42" s="63">
        <v>0.98</v>
      </c>
      <c r="Z42" s="64">
        <v>0.11</v>
      </c>
      <c r="AA42" s="65">
        <f t="shared" si="5"/>
        <v>1695612.245</v>
      </c>
      <c r="AB42" s="65">
        <f t="shared" si="6"/>
        <v>2826020.408</v>
      </c>
      <c r="AC42" s="65">
        <f t="shared" si="7"/>
        <v>2826020.408</v>
      </c>
      <c r="AD42" s="65">
        <f t="shared" si="8"/>
        <v>2900000</v>
      </c>
      <c r="AE42" s="66">
        <f t="shared" si="9"/>
        <v>0.4153061224</v>
      </c>
    </row>
    <row r="43">
      <c r="A43" s="41">
        <v>20.0</v>
      </c>
      <c r="B43" s="42" t="s">
        <v>110</v>
      </c>
      <c r="C43" s="43" t="s">
        <v>39</v>
      </c>
      <c r="D43" s="59" t="s">
        <v>111</v>
      </c>
      <c r="E43" s="90" t="s">
        <v>112</v>
      </c>
      <c r="F43" s="91" t="s">
        <v>33</v>
      </c>
      <c r="G43" s="92" t="s">
        <v>113</v>
      </c>
      <c r="H43" s="92">
        <v>159700.0</v>
      </c>
      <c r="I43" s="92" t="str">
        <f>IF(ISBLANK(H43),,IF((H43&gt;=4000000),"Celebrity",(IF(AND(H43&lt;4000000, H43&gt;=1000000),"Mega",(IF(AND(H43&lt;1000000, H43&gt;=100000),"Macro",(IF(AND(H43&lt;100000, H43&gt;=10000),"Micro",(IF((H43&lt;10000),"Nano",("Check")))))))))))</f>
        <v>Macro</v>
      </c>
      <c r="J43" s="49">
        <f>L43/H43</f>
        <v>0</v>
      </c>
      <c r="K43" s="92">
        <v>37900.0</v>
      </c>
      <c r="L43" s="92"/>
      <c r="M43" s="73" t="s">
        <v>35</v>
      </c>
      <c r="N43" s="53">
        <f t="shared" ref="N43:O43" si="48">U43</f>
        <v>1</v>
      </c>
      <c r="O43" s="54" t="str">
        <f t="shared" si="48"/>
        <v>TT Video</v>
      </c>
      <c r="P43" s="55">
        <f t="shared" si="3"/>
        <v>8900000</v>
      </c>
      <c r="Q43" s="93" t="s">
        <v>114</v>
      </c>
      <c r="R43" s="57"/>
      <c r="S43" s="58" t="s">
        <v>115</v>
      </c>
      <c r="T43" s="59"/>
      <c r="U43" s="68">
        <v>1.0</v>
      </c>
      <c r="V43" s="61" t="s">
        <v>37</v>
      </c>
      <c r="W43" s="62">
        <v>4700000.0</v>
      </c>
      <c r="X43" s="60">
        <f t="shared" si="4"/>
        <v>4700000</v>
      </c>
      <c r="Y43" s="63">
        <v>0.98</v>
      </c>
      <c r="Z43" s="64">
        <v>0.11</v>
      </c>
      <c r="AA43" s="65">
        <f t="shared" si="5"/>
        <v>5312918.367</v>
      </c>
      <c r="AB43" s="65">
        <f t="shared" si="6"/>
        <v>8854863.946</v>
      </c>
      <c r="AC43" s="65">
        <f t="shared" si="7"/>
        <v>8854863.946</v>
      </c>
      <c r="AD43" s="65">
        <f t="shared" si="8"/>
        <v>8900000</v>
      </c>
      <c r="AE43" s="66">
        <f t="shared" si="9"/>
        <v>0.4030428801</v>
      </c>
    </row>
    <row r="44">
      <c r="A44" s="35"/>
      <c r="B44" s="35"/>
      <c r="C44" s="35"/>
      <c r="J44" s="35"/>
      <c r="M44" s="35"/>
      <c r="N44" s="53">
        <f t="shared" ref="N44:O44" si="49">U44</f>
        <v>1</v>
      </c>
      <c r="O44" s="54" t="str">
        <f t="shared" si="49"/>
        <v>Event attendance</v>
      </c>
      <c r="P44" s="55">
        <f t="shared" si="3"/>
        <v>0</v>
      </c>
      <c r="Q44" s="94"/>
      <c r="R44" s="35"/>
      <c r="S44" s="58" t="s">
        <v>42</v>
      </c>
      <c r="T44" s="59"/>
      <c r="U44" s="68">
        <v>1.0</v>
      </c>
      <c r="V44" s="61" t="s">
        <v>38</v>
      </c>
      <c r="W44" s="62">
        <v>0.0</v>
      </c>
      <c r="X44" s="60">
        <f t="shared" si="4"/>
        <v>0</v>
      </c>
      <c r="Y44" s="63">
        <v>0.98</v>
      </c>
      <c r="Z44" s="64">
        <v>0.11</v>
      </c>
      <c r="AA44" s="65">
        <f t="shared" si="5"/>
        <v>0</v>
      </c>
      <c r="AB44" s="65">
        <f t="shared" si="6"/>
        <v>0</v>
      </c>
      <c r="AC44" s="65">
        <f t="shared" si="7"/>
        <v>0</v>
      </c>
      <c r="AD44" s="65">
        <f t="shared" si="8"/>
        <v>0</v>
      </c>
      <c r="AE44" s="66" t="str">
        <f t="shared" si="9"/>
        <v>Calc Published Rate***)</v>
      </c>
    </row>
    <row r="45">
      <c r="A45" s="41">
        <v>21.0</v>
      </c>
      <c r="B45" s="42" t="s">
        <v>110</v>
      </c>
      <c r="C45" s="43" t="s">
        <v>39</v>
      </c>
      <c r="D45" s="70" t="s">
        <v>116</v>
      </c>
      <c r="E45" s="95" t="s">
        <v>117</v>
      </c>
      <c r="F45" s="91" t="s">
        <v>33</v>
      </c>
      <c r="G45" s="92" t="s">
        <v>113</v>
      </c>
      <c r="H45" s="92">
        <v>77300.0</v>
      </c>
      <c r="I45" s="92" t="str">
        <f>IF(ISBLANK(H45),,IF((H45&gt;=4000000),"Celebrity",(IF(AND(H45&lt;4000000, H45&gt;=1000000),"Mega",(IF(AND(H45&lt;1000000, H45&gt;=100000),"Macro",(IF(AND(H45&lt;100000, H45&gt;=10000),"Micro",(IF((H45&lt;10000),"Nano",("Check")))))))))))</f>
        <v>Micro</v>
      </c>
      <c r="J45" s="49">
        <f>L45/H45</f>
        <v>0</v>
      </c>
      <c r="K45" s="92">
        <v>71500.0</v>
      </c>
      <c r="L45" s="92"/>
      <c r="M45" s="73" t="s">
        <v>35</v>
      </c>
      <c r="N45" s="53">
        <f t="shared" ref="N45:O45" si="50">U45</f>
        <v>1</v>
      </c>
      <c r="O45" s="54" t="str">
        <f t="shared" si="50"/>
        <v>TT Video</v>
      </c>
      <c r="P45" s="55">
        <f t="shared" si="3"/>
        <v>7600000</v>
      </c>
      <c r="Q45" s="93" t="s">
        <v>114</v>
      </c>
      <c r="R45" s="57"/>
      <c r="S45" s="58" t="s">
        <v>118</v>
      </c>
      <c r="T45" s="59"/>
      <c r="U45" s="68">
        <v>1.0</v>
      </c>
      <c r="V45" s="61" t="s">
        <v>37</v>
      </c>
      <c r="W45" s="62">
        <v>4000000.0</v>
      </c>
      <c r="X45" s="60">
        <f t="shared" si="4"/>
        <v>4000000</v>
      </c>
      <c r="Y45" s="63">
        <v>0.98</v>
      </c>
      <c r="Z45" s="64">
        <v>0.11</v>
      </c>
      <c r="AA45" s="65">
        <f t="shared" si="5"/>
        <v>4521632.653</v>
      </c>
      <c r="AB45" s="65">
        <f t="shared" si="6"/>
        <v>7536054.422</v>
      </c>
      <c r="AC45" s="65">
        <f t="shared" si="7"/>
        <v>7536054.422</v>
      </c>
      <c r="AD45" s="65">
        <f t="shared" si="8"/>
        <v>7600000</v>
      </c>
      <c r="AE45" s="66">
        <f t="shared" si="9"/>
        <v>0.4050483351</v>
      </c>
    </row>
    <row r="46">
      <c r="A46" s="35"/>
      <c r="B46" s="35"/>
      <c r="C46" s="35"/>
      <c r="J46" s="35"/>
      <c r="M46" s="35"/>
      <c r="N46" s="53">
        <f t="shared" ref="N46:O46" si="51">U46</f>
        <v>1</v>
      </c>
      <c r="O46" s="54" t="str">
        <f t="shared" si="51"/>
        <v>Event attendance</v>
      </c>
      <c r="P46" s="55">
        <f t="shared" si="3"/>
        <v>0</v>
      </c>
      <c r="Q46" s="94"/>
      <c r="R46" s="35"/>
      <c r="S46" s="58" t="s">
        <v>119</v>
      </c>
      <c r="T46" s="59"/>
      <c r="U46" s="68">
        <v>1.0</v>
      </c>
      <c r="V46" s="61" t="s">
        <v>38</v>
      </c>
      <c r="W46" s="62"/>
      <c r="X46" s="60">
        <f t="shared" si="4"/>
        <v>0</v>
      </c>
      <c r="Y46" s="63">
        <v>0.98</v>
      </c>
      <c r="Z46" s="64">
        <v>0.11</v>
      </c>
      <c r="AA46" s="65">
        <f t="shared" si="5"/>
        <v>0</v>
      </c>
      <c r="AB46" s="65">
        <f t="shared" si="6"/>
        <v>0</v>
      </c>
      <c r="AC46" s="65">
        <f t="shared" si="7"/>
        <v>0</v>
      </c>
      <c r="AD46" s="65">
        <f t="shared" si="8"/>
        <v>0</v>
      </c>
      <c r="AE46" s="66" t="str">
        <f t="shared" si="9"/>
        <v>Calc Published Rate***)</v>
      </c>
    </row>
    <row r="47">
      <c r="A47" s="41">
        <v>22.0</v>
      </c>
      <c r="B47" s="42" t="s">
        <v>110</v>
      </c>
      <c r="C47" s="43" t="s">
        <v>30</v>
      </c>
      <c r="D47" s="70" t="s">
        <v>120</v>
      </c>
      <c r="E47" s="96" t="s">
        <v>121</v>
      </c>
      <c r="F47" s="91" t="s">
        <v>33</v>
      </c>
      <c r="G47" s="92" t="s">
        <v>113</v>
      </c>
      <c r="H47" s="92">
        <v>9835.0</v>
      </c>
      <c r="I47" s="92" t="str">
        <f>IF(ISBLANK(H47),,IF((H47&gt;=4000000),"Celebrity",(IF(AND(H47&lt;4000000, H47&gt;=1000000),"Mega",(IF(AND(H47&lt;1000000, H47&gt;=100000),"Macro",(IF(AND(H47&lt;100000, H47&gt;=10000),"Micro",(IF((H47&lt;10000),"Nano",("Check")))))))))))</f>
        <v>Nano</v>
      </c>
      <c r="J47" s="49">
        <f>L47/H47</f>
        <v>0</v>
      </c>
      <c r="K47" s="92">
        <v>2350.0</v>
      </c>
      <c r="L47" s="92"/>
      <c r="M47" s="73" t="s">
        <v>35</v>
      </c>
      <c r="N47" s="53">
        <f t="shared" ref="N47:O47" si="52">U47</f>
        <v>1</v>
      </c>
      <c r="O47" s="54" t="str">
        <f t="shared" si="52"/>
        <v>TT Video</v>
      </c>
      <c r="P47" s="55">
        <f t="shared" si="3"/>
        <v>2400000</v>
      </c>
      <c r="Q47" s="93" t="s">
        <v>122</v>
      </c>
      <c r="R47" s="57"/>
      <c r="S47" s="58" t="s">
        <v>118</v>
      </c>
      <c r="T47" s="59"/>
      <c r="U47" s="68">
        <v>1.0</v>
      </c>
      <c r="V47" s="61" t="s">
        <v>37</v>
      </c>
      <c r="W47" s="62">
        <v>1250000.0</v>
      </c>
      <c r="X47" s="60">
        <f t="shared" si="4"/>
        <v>1250000</v>
      </c>
      <c r="Y47" s="63">
        <v>0.98</v>
      </c>
      <c r="Z47" s="64">
        <v>0.11</v>
      </c>
      <c r="AA47" s="65">
        <f t="shared" si="5"/>
        <v>1413010.204</v>
      </c>
      <c r="AB47" s="65">
        <f t="shared" si="6"/>
        <v>2355017.007</v>
      </c>
      <c r="AC47" s="65">
        <f t="shared" si="7"/>
        <v>2355017.007</v>
      </c>
      <c r="AD47" s="65">
        <f t="shared" si="8"/>
        <v>2400000</v>
      </c>
      <c r="AE47" s="66">
        <f t="shared" si="9"/>
        <v>0.4112457483</v>
      </c>
    </row>
    <row r="48">
      <c r="A48" s="35"/>
      <c r="B48" s="35"/>
      <c r="C48" s="35"/>
      <c r="J48" s="35"/>
      <c r="M48" s="35"/>
      <c r="N48" s="53">
        <f t="shared" ref="N48:O48" si="53">U48</f>
        <v>1</v>
      </c>
      <c r="O48" s="54" t="str">
        <f t="shared" si="53"/>
        <v>Event attendance</v>
      </c>
      <c r="P48" s="55">
        <f t="shared" si="3"/>
        <v>0</v>
      </c>
      <c r="Q48" s="94"/>
      <c r="R48" s="35"/>
      <c r="S48" s="58" t="s">
        <v>42</v>
      </c>
      <c r="T48" s="59"/>
      <c r="U48" s="68">
        <v>1.0</v>
      </c>
      <c r="V48" s="61" t="s">
        <v>38</v>
      </c>
      <c r="W48" s="62"/>
      <c r="X48" s="60">
        <f t="shared" si="4"/>
        <v>0</v>
      </c>
      <c r="Y48" s="63">
        <v>0.98</v>
      </c>
      <c r="Z48" s="64">
        <v>0.11</v>
      </c>
      <c r="AA48" s="65">
        <f t="shared" si="5"/>
        <v>0</v>
      </c>
      <c r="AB48" s="65">
        <f t="shared" si="6"/>
        <v>0</v>
      </c>
      <c r="AC48" s="65">
        <f t="shared" si="7"/>
        <v>0</v>
      </c>
      <c r="AD48" s="65">
        <f t="shared" si="8"/>
        <v>0</v>
      </c>
      <c r="AE48" s="66" t="str">
        <f t="shared" si="9"/>
        <v>Calc Published Rate***)</v>
      </c>
    </row>
    <row r="49">
      <c r="A49" s="41">
        <v>23.0</v>
      </c>
      <c r="B49" s="42" t="s">
        <v>110</v>
      </c>
      <c r="C49" s="43" t="s">
        <v>39</v>
      </c>
      <c r="D49" s="70" t="s">
        <v>123</v>
      </c>
      <c r="E49" s="96" t="s">
        <v>124</v>
      </c>
      <c r="F49" s="91" t="s">
        <v>33</v>
      </c>
      <c r="G49" s="92" t="s">
        <v>113</v>
      </c>
      <c r="H49" s="92">
        <v>12600.0</v>
      </c>
      <c r="I49" s="92" t="str">
        <f>IF(ISBLANK(H49),,IF((H49&gt;=4000000),"Celebrity",(IF(AND(H49&lt;4000000, H49&gt;=1000000),"Mega",(IF(AND(H49&lt;1000000, H49&gt;=100000),"Macro",(IF(AND(H49&lt;100000, H49&gt;=10000),"Micro",(IF((H49&lt;10000),"Nano",("Check")))))))))))</f>
        <v>Micro</v>
      </c>
      <c r="J49" s="49">
        <f>L49/H49</f>
        <v>0</v>
      </c>
      <c r="K49" s="92">
        <v>2700.0</v>
      </c>
      <c r="L49" s="92"/>
      <c r="M49" s="73" t="s">
        <v>35</v>
      </c>
      <c r="N49" s="53">
        <f t="shared" ref="N49:O49" si="54">U49</f>
        <v>1</v>
      </c>
      <c r="O49" s="54" t="str">
        <f t="shared" si="54"/>
        <v>TT Video</v>
      </c>
      <c r="P49" s="55">
        <f t="shared" si="3"/>
        <v>1900000</v>
      </c>
      <c r="Q49" s="93" t="s">
        <v>114</v>
      </c>
      <c r="R49" s="57"/>
      <c r="S49" s="58" t="s">
        <v>118</v>
      </c>
      <c r="T49" s="59"/>
      <c r="U49" s="68">
        <v>1.0</v>
      </c>
      <c r="V49" s="61" t="s">
        <v>37</v>
      </c>
      <c r="W49" s="62">
        <v>1000000.0</v>
      </c>
      <c r="X49" s="60">
        <f t="shared" si="4"/>
        <v>1000000</v>
      </c>
      <c r="Y49" s="63">
        <v>0.98</v>
      </c>
      <c r="Z49" s="64">
        <v>0.11</v>
      </c>
      <c r="AA49" s="65">
        <f t="shared" si="5"/>
        <v>1130408.163</v>
      </c>
      <c r="AB49" s="65">
        <f t="shared" si="6"/>
        <v>1884013.605</v>
      </c>
      <c r="AC49" s="65">
        <f t="shared" si="7"/>
        <v>1884013.605</v>
      </c>
      <c r="AD49" s="65">
        <f t="shared" si="8"/>
        <v>1900000</v>
      </c>
      <c r="AE49" s="66">
        <f t="shared" si="9"/>
        <v>0.4050483351</v>
      </c>
    </row>
    <row r="50">
      <c r="A50" s="35"/>
      <c r="B50" s="35"/>
      <c r="C50" s="35"/>
      <c r="J50" s="35"/>
      <c r="M50" s="35"/>
      <c r="N50" s="53">
        <f t="shared" ref="N50:O50" si="55">U50</f>
        <v>1</v>
      </c>
      <c r="O50" s="54" t="str">
        <f t="shared" si="55"/>
        <v>Event attendance</v>
      </c>
      <c r="P50" s="55">
        <f t="shared" si="3"/>
        <v>0</v>
      </c>
      <c r="Q50" s="94"/>
      <c r="R50" s="35"/>
      <c r="S50" s="58" t="s">
        <v>42</v>
      </c>
      <c r="T50" s="59"/>
      <c r="U50" s="68">
        <v>1.0</v>
      </c>
      <c r="V50" s="61" t="s">
        <v>38</v>
      </c>
      <c r="W50" s="62"/>
      <c r="X50" s="60">
        <f t="shared" si="4"/>
        <v>0</v>
      </c>
      <c r="Y50" s="63">
        <v>0.98</v>
      </c>
      <c r="Z50" s="64">
        <v>0.11</v>
      </c>
      <c r="AA50" s="65">
        <f t="shared" si="5"/>
        <v>0</v>
      </c>
      <c r="AB50" s="65">
        <f t="shared" si="6"/>
        <v>0</v>
      </c>
      <c r="AC50" s="65">
        <f t="shared" si="7"/>
        <v>0</v>
      </c>
      <c r="AD50" s="65">
        <f t="shared" si="8"/>
        <v>0</v>
      </c>
      <c r="AE50" s="66" t="str">
        <f t="shared" si="9"/>
        <v>Calc Published Rate***)</v>
      </c>
    </row>
    <row r="51">
      <c r="A51" s="41">
        <v>24.0</v>
      </c>
      <c r="B51" s="42" t="s">
        <v>110</v>
      </c>
      <c r="C51" s="43" t="s">
        <v>39</v>
      </c>
      <c r="D51" s="70" t="s">
        <v>125</v>
      </c>
      <c r="E51" s="96" t="s">
        <v>126</v>
      </c>
      <c r="F51" s="91" t="s">
        <v>33</v>
      </c>
      <c r="G51" s="92" t="s">
        <v>113</v>
      </c>
      <c r="H51" s="92">
        <v>155100.0</v>
      </c>
      <c r="I51" s="92" t="str">
        <f>IF(ISBLANK(H51),,IF((H51&gt;=4000000),"Celebrity",(IF(AND(H51&lt;4000000, H51&gt;=1000000),"Mega",(IF(AND(H51&lt;1000000, H51&gt;=100000),"Macro",(IF(AND(H51&lt;100000, H51&gt;=10000),"Micro",(IF((H51&lt;10000),"Nano",("Check")))))))))))</f>
        <v>Macro</v>
      </c>
      <c r="J51" s="49">
        <f>L51/H51</f>
        <v>0</v>
      </c>
      <c r="K51" s="92">
        <v>40300.0</v>
      </c>
      <c r="L51" s="92"/>
      <c r="M51" s="73" t="s">
        <v>35</v>
      </c>
      <c r="N51" s="53">
        <f t="shared" ref="N51:O51" si="56">U51</f>
        <v>1</v>
      </c>
      <c r="O51" s="54" t="str">
        <f t="shared" si="56"/>
        <v>TT Video</v>
      </c>
      <c r="P51" s="55">
        <f t="shared" si="3"/>
        <v>1400000</v>
      </c>
      <c r="Q51" s="93" t="s">
        <v>114</v>
      </c>
      <c r="R51" s="57"/>
      <c r="S51" s="58" t="s">
        <v>118</v>
      </c>
      <c r="T51" s="59"/>
      <c r="U51" s="68">
        <v>1.0</v>
      </c>
      <c r="V51" s="61" t="s">
        <v>37</v>
      </c>
      <c r="W51" s="62">
        <v>700000.0</v>
      </c>
      <c r="X51" s="60">
        <f t="shared" si="4"/>
        <v>700000</v>
      </c>
      <c r="Y51" s="63">
        <v>0.98</v>
      </c>
      <c r="Z51" s="64">
        <v>0.11</v>
      </c>
      <c r="AA51" s="65">
        <f t="shared" si="5"/>
        <v>791285.7143</v>
      </c>
      <c r="AB51" s="65">
        <f t="shared" si="6"/>
        <v>1318809.524</v>
      </c>
      <c r="AC51" s="65">
        <f t="shared" si="7"/>
        <v>1318809.524</v>
      </c>
      <c r="AD51" s="65">
        <f t="shared" si="8"/>
        <v>1400000</v>
      </c>
      <c r="AE51" s="66">
        <f t="shared" si="9"/>
        <v>0.4347959184</v>
      </c>
    </row>
    <row r="52">
      <c r="A52" s="35"/>
      <c r="B52" s="35"/>
      <c r="C52" s="35"/>
      <c r="J52" s="35"/>
      <c r="M52" s="35"/>
      <c r="N52" s="53">
        <f t="shared" ref="N52:O52" si="57">U52</f>
        <v>1</v>
      </c>
      <c r="O52" s="54" t="str">
        <f t="shared" si="57"/>
        <v>Event attendance</v>
      </c>
      <c r="P52" s="55">
        <f t="shared" si="3"/>
        <v>0</v>
      </c>
      <c r="Q52" s="94"/>
      <c r="R52" s="35"/>
      <c r="S52" s="58" t="s">
        <v>119</v>
      </c>
      <c r="T52" s="59"/>
      <c r="U52" s="68">
        <v>1.0</v>
      </c>
      <c r="V52" s="61" t="s">
        <v>38</v>
      </c>
      <c r="W52" s="62"/>
      <c r="X52" s="60">
        <f t="shared" si="4"/>
        <v>0</v>
      </c>
      <c r="Y52" s="63">
        <v>0.98</v>
      </c>
      <c r="Z52" s="64">
        <v>0.11</v>
      </c>
      <c r="AA52" s="65">
        <f t="shared" si="5"/>
        <v>0</v>
      </c>
      <c r="AB52" s="65">
        <f t="shared" si="6"/>
        <v>0</v>
      </c>
      <c r="AC52" s="65">
        <f t="shared" si="7"/>
        <v>0</v>
      </c>
      <c r="AD52" s="65">
        <f t="shared" si="8"/>
        <v>0</v>
      </c>
      <c r="AE52" s="66" t="str">
        <f t="shared" si="9"/>
        <v>Calc Published Rate***)</v>
      </c>
    </row>
    <row r="53">
      <c r="A53" s="41">
        <v>25.0</v>
      </c>
      <c r="B53" s="42" t="s">
        <v>110</v>
      </c>
      <c r="C53" s="43" t="s">
        <v>52</v>
      </c>
      <c r="D53" s="70" t="s">
        <v>127</v>
      </c>
      <c r="E53" s="97" t="s">
        <v>128</v>
      </c>
      <c r="F53" s="91" t="s">
        <v>33</v>
      </c>
      <c r="G53" s="92" t="s">
        <v>58</v>
      </c>
      <c r="H53" s="98">
        <v>50200.0</v>
      </c>
      <c r="I53" s="92" t="str">
        <f>IF(ISBLANK(H53),,IF((H53&gt;=4000000),"Celebrity",(IF(AND(H53&lt;4000000, H53&gt;=1000000),"Mega",(IF(AND(H53&lt;1000000, H53&gt;=100000),"Macro",(IF(AND(H53&lt;100000, H53&gt;=10000),"Micro",(IF((H53&lt;10000),"Nano",("Check")))))))))))</f>
        <v>Micro</v>
      </c>
      <c r="J53" s="49">
        <f>L53/H53</f>
        <v>0</v>
      </c>
      <c r="K53" s="99">
        <v>3606.0</v>
      </c>
      <c r="L53" s="100"/>
      <c r="M53" s="73" t="s">
        <v>35</v>
      </c>
      <c r="N53" s="53">
        <f t="shared" ref="N53:O53" si="58">U53</f>
        <v>1</v>
      </c>
      <c r="O53" s="54" t="str">
        <f t="shared" si="58"/>
        <v>TT Video</v>
      </c>
      <c r="P53" s="55">
        <f t="shared" si="3"/>
        <v>0</v>
      </c>
      <c r="Q53" s="89"/>
      <c r="R53" s="57"/>
      <c r="S53" s="58"/>
      <c r="T53" s="59"/>
      <c r="U53" s="68">
        <v>1.0</v>
      </c>
      <c r="V53" s="61" t="s">
        <v>37</v>
      </c>
      <c r="W53" s="62"/>
      <c r="X53" s="60">
        <f t="shared" si="4"/>
        <v>0</v>
      </c>
      <c r="Y53" s="63">
        <v>0.98</v>
      </c>
      <c r="Z53" s="64">
        <v>0.11</v>
      </c>
      <c r="AA53" s="65">
        <f t="shared" si="5"/>
        <v>0</v>
      </c>
      <c r="AB53" s="65">
        <f t="shared" si="6"/>
        <v>0</v>
      </c>
      <c r="AC53" s="65">
        <f t="shared" si="7"/>
        <v>0</v>
      </c>
      <c r="AD53" s="65">
        <f t="shared" si="8"/>
        <v>0</v>
      </c>
      <c r="AE53" s="66" t="str">
        <f t="shared" si="9"/>
        <v>Calc Published Rate***)</v>
      </c>
    </row>
    <row r="54">
      <c r="A54" s="35"/>
      <c r="B54" s="35"/>
      <c r="C54" s="35"/>
      <c r="J54" s="35"/>
      <c r="M54" s="35"/>
      <c r="N54" s="53">
        <f t="shared" ref="N54:O54" si="59">U54</f>
        <v>1</v>
      </c>
      <c r="O54" s="54" t="str">
        <f t="shared" si="59"/>
        <v>Event attendance</v>
      </c>
      <c r="P54" s="55">
        <f t="shared" si="3"/>
        <v>0</v>
      </c>
      <c r="Q54" s="35"/>
      <c r="R54" s="35"/>
      <c r="S54" s="58"/>
      <c r="T54" s="59"/>
      <c r="U54" s="68">
        <v>1.0</v>
      </c>
      <c r="V54" s="61" t="s">
        <v>38</v>
      </c>
      <c r="W54" s="62"/>
      <c r="X54" s="60">
        <f t="shared" si="4"/>
        <v>0</v>
      </c>
      <c r="Y54" s="63">
        <v>0.98</v>
      </c>
      <c r="Z54" s="64">
        <v>0.11</v>
      </c>
      <c r="AA54" s="65">
        <f t="shared" si="5"/>
        <v>0</v>
      </c>
      <c r="AB54" s="65">
        <f t="shared" si="6"/>
        <v>0</v>
      </c>
      <c r="AC54" s="65">
        <f t="shared" si="7"/>
        <v>0</v>
      </c>
      <c r="AD54" s="65">
        <f t="shared" si="8"/>
        <v>0</v>
      </c>
      <c r="AE54" s="66" t="str">
        <f t="shared" si="9"/>
        <v>Calc Published Rate***)</v>
      </c>
    </row>
    <row r="55">
      <c r="A55" s="41">
        <v>26.0</v>
      </c>
      <c r="B55" s="42" t="s">
        <v>110</v>
      </c>
      <c r="C55" s="43" t="s">
        <v>39</v>
      </c>
      <c r="D55" s="70" t="s">
        <v>129</v>
      </c>
      <c r="E55" s="97" t="s">
        <v>130</v>
      </c>
      <c r="F55" s="91" t="s">
        <v>33</v>
      </c>
      <c r="G55" s="92" t="s">
        <v>58</v>
      </c>
      <c r="H55" s="98">
        <v>44000.0</v>
      </c>
      <c r="I55" s="92" t="str">
        <f>IF(ISBLANK(H55),,IF((H55&gt;=4000000),"Celebrity",(IF(AND(H55&lt;4000000, H55&gt;=1000000),"Mega",(IF(AND(H55&lt;1000000, H55&gt;=100000),"Macro",(IF(AND(H55&lt;100000, H55&gt;=10000),"Micro",(IF((H55&lt;10000),"Nano",("Check")))))))))))</f>
        <v>Micro</v>
      </c>
      <c r="J55" s="49">
        <f>K55/H55</f>
        <v>0.1329545455</v>
      </c>
      <c r="K55" s="92">
        <v>5850.0</v>
      </c>
      <c r="L55" s="101"/>
      <c r="M55" s="73" t="s">
        <v>35</v>
      </c>
      <c r="N55" s="53">
        <f t="shared" ref="N55:O55" si="60">U55</f>
        <v>1</v>
      </c>
      <c r="O55" s="54" t="str">
        <f t="shared" si="60"/>
        <v>TT Video</v>
      </c>
      <c r="P55" s="55">
        <f t="shared" si="3"/>
        <v>700000</v>
      </c>
      <c r="Q55" s="93" t="s">
        <v>114</v>
      </c>
      <c r="R55" s="57"/>
      <c r="S55" s="58" t="s">
        <v>118</v>
      </c>
      <c r="T55" s="59"/>
      <c r="U55" s="68">
        <v>1.0</v>
      </c>
      <c r="V55" s="61" t="s">
        <v>37</v>
      </c>
      <c r="W55" s="62">
        <v>350000.0</v>
      </c>
      <c r="X55" s="60">
        <f t="shared" si="4"/>
        <v>350000</v>
      </c>
      <c r="Y55" s="63">
        <v>0.98</v>
      </c>
      <c r="Z55" s="64">
        <v>0.11</v>
      </c>
      <c r="AA55" s="65">
        <f t="shared" si="5"/>
        <v>395642.8571</v>
      </c>
      <c r="AB55" s="65">
        <f t="shared" si="6"/>
        <v>659404.7619</v>
      </c>
      <c r="AC55" s="65">
        <f t="shared" si="7"/>
        <v>659404.7619</v>
      </c>
      <c r="AD55" s="65">
        <f t="shared" si="8"/>
        <v>700000</v>
      </c>
      <c r="AE55" s="66">
        <f t="shared" si="9"/>
        <v>0.4347959184</v>
      </c>
    </row>
    <row r="56">
      <c r="A56" s="35"/>
      <c r="B56" s="35"/>
      <c r="C56" s="35"/>
      <c r="J56" s="35"/>
      <c r="L56" s="101"/>
      <c r="M56" s="35"/>
      <c r="N56" s="53">
        <f t="shared" ref="N56:O56" si="61">U56</f>
        <v>1</v>
      </c>
      <c r="O56" s="54" t="str">
        <f t="shared" si="61"/>
        <v>Event attendance</v>
      </c>
      <c r="P56" s="55">
        <f t="shared" si="3"/>
        <v>0</v>
      </c>
      <c r="Q56" s="94"/>
      <c r="R56" s="35"/>
      <c r="S56" s="58" t="s">
        <v>119</v>
      </c>
      <c r="T56" s="59"/>
      <c r="U56" s="68">
        <v>1.0</v>
      </c>
      <c r="V56" s="61" t="s">
        <v>38</v>
      </c>
      <c r="W56" s="62"/>
      <c r="X56" s="60">
        <f t="shared" si="4"/>
        <v>0</v>
      </c>
      <c r="Y56" s="63">
        <v>0.98</v>
      </c>
      <c r="Z56" s="64">
        <v>0.11</v>
      </c>
      <c r="AA56" s="65">
        <f t="shared" si="5"/>
        <v>0</v>
      </c>
      <c r="AB56" s="65">
        <f t="shared" si="6"/>
        <v>0</v>
      </c>
      <c r="AC56" s="65">
        <f t="shared" si="7"/>
        <v>0</v>
      </c>
      <c r="AD56" s="65">
        <f t="shared" si="8"/>
        <v>0</v>
      </c>
      <c r="AE56" s="66" t="str">
        <f t="shared" si="9"/>
        <v>Calc Published Rate***)</v>
      </c>
    </row>
    <row r="57">
      <c r="A57" s="41">
        <v>27.0</v>
      </c>
      <c r="B57" s="42" t="s">
        <v>110</v>
      </c>
      <c r="C57" s="43" t="s">
        <v>52</v>
      </c>
      <c r="D57" s="70" t="s">
        <v>131</v>
      </c>
      <c r="E57" s="97" t="s">
        <v>132</v>
      </c>
      <c r="F57" s="91" t="s">
        <v>33</v>
      </c>
      <c r="G57" s="92" t="s">
        <v>58</v>
      </c>
      <c r="H57" s="92">
        <v>31000.0</v>
      </c>
      <c r="I57" s="92" t="str">
        <f>IF(ISBLANK(H57),,IF((H57&gt;=4000000),"Celebrity",(IF(AND(H57&lt;4000000, H57&gt;=1000000),"Mega",(IF(AND(H57&lt;1000000, H57&gt;=100000),"Macro",(IF(AND(H57&lt;100000, H57&gt;=10000),"Micro",(IF((H57&lt;10000),"Nano",("Check")))))))))))</f>
        <v>Micro</v>
      </c>
      <c r="J57" s="49">
        <f>K57/H57</f>
        <v>0</v>
      </c>
      <c r="K57" s="100"/>
      <c r="L57" s="101"/>
      <c r="M57" s="73" t="s">
        <v>35</v>
      </c>
      <c r="N57" s="53">
        <f t="shared" ref="N57:O57" si="62">U57</f>
        <v>1</v>
      </c>
      <c r="O57" s="54" t="str">
        <f t="shared" si="62"/>
        <v>TT Video</v>
      </c>
      <c r="P57" s="55">
        <f t="shared" si="3"/>
        <v>0</v>
      </c>
      <c r="Q57" s="89"/>
      <c r="R57" s="57"/>
      <c r="S57" s="58"/>
      <c r="T57" s="59"/>
      <c r="U57" s="68">
        <v>1.0</v>
      </c>
      <c r="V57" s="61" t="s">
        <v>37</v>
      </c>
      <c r="W57" s="62"/>
      <c r="X57" s="60">
        <f t="shared" si="4"/>
        <v>0</v>
      </c>
      <c r="Y57" s="63">
        <v>0.98</v>
      </c>
      <c r="Z57" s="64">
        <v>0.11</v>
      </c>
      <c r="AA57" s="65">
        <f t="shared" si="5"/>
        <v>0</v>
      </c>
      <c r="AB57" s="65">
        <f t="shared" si="6"/>
        <v>0</v>
      </c>
      <c r="AC57" s="65">
        <f t="shared" si="7"/>
        <v>0</v>
      </c>
      <c r="AD57" s="65">
        <f t="shared" si="8"/>
        <v>0</v>
      </c>
      <c r="AE57" s="66" t="str">
        <f t="shared" si="9"/>
        <v>Calc Published Rate***)</v>
      </c>
    </row>
    <row r="58">
      <c r="A58" s="35"/>
      <c r="B58" s="35"/>
      <c r="C58" s="35"/>
      <c r="J58" s="35"/>
      <c r="L58" s="101"/>
      <c r="M58" s="35"/>
      <c r="N58" s="53">
        <f t="shared" ref="N58:O58" si="63">U58</f>
        <v>1</v>
      </c>
      <c r="O58" s="54" t="str">
        <f t="shared" si="63"/>
        <v>Event attendance</v>
      </c>
      <c r="P58" s="55">
        <f t="shared" si="3"/>
        <v>0</v>
      </c>
      <c r="Q58" s="35"/>
      <c r="R58" s="35"/>
      <c r="S58" s="58"/>
      <c r="T58" s="59"/>
      <c r="U58" s="68">
        <v>1.0</v>
      </c>
      <c r="V58" s="61" t="s">
        <v>38</v>
      </c>
      <c r="W58" s="62"/>
      <c r="X58" s="60">
        <f t="shared" si="4"/>
        <v>0</v>
      </c>
      <c r="Y58" s="63">
        <v>0.98</v>
      </c>
      <c r="Z58" s="64">
        <v>0.11</v>
      </c>
      <c r="AA58" s="65">
        <f t="shared" si="5"/>
        <v>0</v>
      </c>
      <c r="AB58" s="65">
        <f t="shared" si="6"/>
        <v>0</v>
      </c>
      <c r="AC58" s="65">
        <f t="shared" si="7"/>
        <v>0</v>
      </c>
      <c r="AD58" s="65">
        <f t="shared" si="8"/>
        <v>0</v>
      </c>
      <c r="AE58" s="66" t="str">
        <f t="shared" si="9"/>
        <v>Calc Published Rate***)</v>
      </c>
    </row>
    <row r="59">
      <c r="A59" s="41">
        <v>28.0</v>
      </c>
      <c r="B59" s="42" t="s">
        <v>110</v>
      </c>
      <c r="C59" s="43" t="s">
        <v>52</v>
      </c>
      <c r="D59" s="70" t="s">
        <v>133</v>
      </c>
      <c r="E59" s="97" t="s">
        <v>134</v>
      </c>
      <c r="F59" s="91" t="s">
        <v>33</v>
      </c>
      <c r="G59" s="92" t="s">
        <v>58</v>
      </c>
      <c r="H59" s="98">
        <v>5626.0</v>
      </c>
      <c r="I59" s="92" t="str">
        <f>IF(ISBLANK(H59),,IF((H59&gt;=4000000),"Celebrity",(IF(AND(H59&lt;4000000, H59&gt;=1000000),"Mega",(IF(AND(H59&lt;1000000, H59&gt;=100000),"Macro",(IF(AND(H59&lt;100000, H59&gt;=10000),"Micro",(IF((H59&lt;10000),"Nano",("Check")))))))))))</f>
        <v>Nano</v>
      </c>
      <c r="J59" s="49">
        <f>K59/H59</f>
        <v>0</v>
      </c>
      <c r="K59" s="100"/>
      <c r="L59" s="101"/>
      <c r="M59" s="73" t="s">
        <v>35</v>
      </c>
      <c r="N59" s="53">
        <f t="shared" ref="N59:O59" si="64">U59</f>
        <v>1</v>
      </c>
      <c r="O59" s="54" t="str">
        <f t="shared" si="64"/>
        <v>TT Video</v>
      </c>
      <c r="P59" s="55">
        <f t="shared" si="3"/>
        <v>0</v>
      </c>
      <c r="Q59" s="89"/>
      <c r="R59" s="57"/>
      <c r="S59" s="58"/>
      <c r="T59" s="59"/>
      <c r="U59" s="68">
        <v>1.0</v>
      </c>
      <c r="V59" s="61" t="s">
        <v>37</v>
      </c>
      <c r="W59" s="62"/>
      <c r="X59" s="60">
        <f t="shared" si="4"/>
        <v>0</v>
      </c>
      <c r="Y59" s="63">
        <v>0.98</v>
      </c>
      <c r="Z59" s="64">
        <v>0.11</v>
      </c>
      <c r="AA59" s="65">
        <f t="shared" si="5"/>
        <v>0</v>
      </c>
      <c r="AB59" s="65">
        <f t="shared" si="6"/>
        <v>0</v>
      </c>
      <c r="AC59" s="65">
        <f t="shared" si="7"/>
        <v>0</v>
      </c>
      <c r="AD59" s="65">
        <f t="shared" si="8"/>
        <v>0</v>
      </c>
      <c r="AE59" s="66" t="str">
        <f t="shared" si="9"/>
        <v>Calc Published Rate***)</v>
      </c>
    </row>
    <row r="60">
      <c r="A60" s="35"/>
      <c r="B60" s="35"/>
      <c r="C60" s="35"/>
      <c r="J60" s="35"/>
      <c r="L60" s="101"/>
      <c r="M60" s="35"/>
      <c r="N60" s="53">
        <f t="shared" ref="N60:O60" si="65">U60</f>
        <v>1</v>
      </c>
      <c r="O60" s="54" t="str">
        <f t="shared" si="65"/>
        <v>Event attendance</v>
      </c>
      <c r="P60" s="55">
        <f t="shared" si="3"/>
        <v>0</v>
      </c>
      <c r="Q60" s="35"/>
      <c r="R60" s="35"/>
      <c r="S60" s="58"/>
      <c r="T60" s="59"/>
      <c r="U60" s="68">
        <v>1.0</v>
      </c>
      <c r="V60" s="61" t="s">
        <v>38</v>
      </c>
      <c r="W60" s="62"/>
      <c r="X60" s="60">
        <f t="shared" si="4"/>
        <v>0</v>
      </c>
      <c r="Y60" s="63">
        <v>0.98</v>
      </c>
      <c r="Z60" s="64">
        <v>0.11</v>
      </c>
      <c r="AA60" s="65">
        <f t="shared" si="5"/>
        <v>0</v>
      </c>
      <c r="AB60" s="65">
        <f t="shared" si="6"/>
        <v>0</v>
      </c>
      <c r="AC60" s="65">
        <f t="shared" si="7"/>
        <v>0</v>
      </c>
      <c r="AD60" s="65">
        <f t="shared" si="8"/>
        <v>0</v>
      </c>
      <c r="AE60" s="66" t="str">
        <f t="shared" si="9"/>
        <v>Calc Published Rate***)</v>
      </c>
    </row>
    <row r="61">
      <c r="A61" s="41">
        <v>29.0</v>
      </c>
      <c r="B61" s="42" t="s">
        <v>110</v>
      </c>
      <c r="C61" s="43" t="s">
        <v>39</v>
      </c>
      <c r="D61" s="70" t="s">
        <v>135</v>
      </c>
      <c r="E61" s="102" t="s">
        <v>136</v>
      </c>
      <c r="F61" s="91" t="s">
        <v>33</v>
      </c>
      <c r="G61" s="92" t="s">
        <v>86</v>
      </c>
      <c r="H61" s="103">
        <v>17000.0</v>
      </c>
      <c r="I61" s="92" t="str">
        <f>IF(ISBLANK(H61),,IF((H61&gt;=4000000),"Celebrity",(IF(AND(H61&lt;4000000, H61&gt;=1000000),"Mega",(IF(AND(H61&lt;1000000, H61&gt;=100000),"Macro",(IF(AND(H61&lt;100000, H61&gt;=10000),"Micro",(IF((H61&lt;10000),"Nano",("Check")))))))))))</f>
        <v>Micro</v>
      </c>
      <c r="J61" s="49">
        <f>K61/H61</f>
        <v>0.5882352941</v>
      </c>
      <c r="K61" s="103">
        <v>10000.0</v>
      </c>
      <c r="L61" s="101"/>
      <c r="M61" s="73" t="s">
        <v>35</v>
      </c>
      <c r="N61" s="53">
        <f t="shared" ref="N61:O61" si="66">U61</f>
        <v>1</v>
      </c>
      <c r="O61" s="54" t="str">
        <f t="shared" si="66"/>
        <v>TT Video</v>
      </c>
      <c r="P61" s="55">
        <f t="shared" si="3"/>
        <v>3800000</v>
      </c>
      <c r="Q61" s="93" t="s">
        <v>114</v>
      </c>
      <c r="R61" s="57"/>
      <c r="S61" s="58" t="s">
        <v>118</v>
      </c>
      <c r="T61" s="59"/>
      <c r="U61" s="68">
        <v>1.0</v>
      </c>
      <c r="V61" s="61" t="s">
        <v>37</v>
      </c>
      <c r="W61" s="62">
        <v>2000000.0</v>
      </c>
      <c r="X61" s="60">
        <f t="shared" si="4"/>
        <v>2000000</v>
      </c>
      <c r="Y61" s="63">
        <v>0.98</v>
      </c>
      <c r="Z61" s="64">
        <v>0.11</v>
      </c>
      <c r="AA61" s="65">
        <f t="shared" si="5"/>
        <v>2260816.327</v>
      </c>
      <c r="AB61" s="65">
        <f t="shared" si="6"/>
        <v>3768027.211</v>
      </c>
      <c r="AC61" s="65">
        <f t="shared" si="7"/>
        <v>3768027.211</v>
      </c>
      <c r="AD61" s="65">
        <f t="shared" si="8"/>
        <v>3800000</v>
      </c>
      <c r="AE61" s="66">
        <f t="shared" si="9"/>
        <v>0.4050483351</v>
      </c>
    </row>
    <row r="62">
      <c r="A62" s="35"/>
      <c r="B62" s="35"/>
      <c r="C62" s="35"/>
      <c r="J62" s="35"/>
      <c r="L62" s="101"/>
      <c r="M62" s="35"/>
      <c r="N62" s="53">
        <f t="shared" ref="N62:O62" si="67">U62</f>
        <v>1</v>
      </c>
      <c r="O62" s="54" t="str">
        <f t="shared" si="67"/>
        <v>Event attendance</v>
      </c>
      <c r="P62" s="55">
        <f t="shared" si="3"/>
        <v>0</v>
      </c>
      <c r="Q62" s="94"/>
      <c r="R62" s="35"/>
      <c r="S62" s="58" t="s">
        <v>42</v>
      </c>
      <c r="T62" s="59"/>
      <c r="U62" s="68">
        <v>1.0</v>
      </c>
      <c r="V62" s="61" t="s">
        <v>38</v>
      </c>
      <c r="W62" s="62"/>
      <c r="X62" s="60">
        <f t="shared" si="4"/>
        <v>0</v>
      </c>
      <c r="Y62" s="63">
        <v>0.98</v>
      </c>
      <c r="Z62" s="64">
        <v>0.11</v>
      </c>
      <c r="AA62" s="65">
        <f t="shared" si="5"/>
        <v>0</v>
      </c>
      <c r="AB62" s="65">
        <f t="shared" si="6"/>
        <v>0</v>
      </c>
      <c r="AC62" s="65">
        <f t="shared" si="7"/>
        <v>0</v>
      </c>
      <c r="AD62" s="65">
        <f t="shared" si="8"/>
        <v>0</v>
      </c>
      <c r="AE62" s="66" t="str">
        <f t="shared" si="9"/>
        <v>Calc Published Rate***)</v>
      </c>
    </row>
    <row r="63">
      <c r="A63" s="41">
        <v>30.0</v>
      </c>
      <c r="B63" s="42" t="s">
        <v>110</v>
      </c>
      <c r="C63" s="43" t="s">
        <v>39</v>
      </c>
      <c r="D63" s="70" t="s">
        <v>137</v>
      </c>
      <c r="E63" s="96" t="s">
        <v>138</v>
      </c>
      <c r="F63" s="91" t="s">
        <v>33</v>
      </c>
      <c r="G63" s="92" t="s">
        <v>86</v>
      </c>
      <c r="H63" s="92">
        <v>24400.0</v>
      </c>
      <c r="I63" s="92" t="str">
        <f>IF(ISBLANK(H63),,IF((H63&gt;=4000000),"Celebrity",(IF(AND(H63&lt;4000000, H63&gt;=1000000),"Mega",(IF(AND(H63&lt;1000000, H63&gt;=100000),"Macro",(IF(AND(H63&lt;100000, H63&gt;=10000),"Micro",(IF((H63&lt;10000),"Nano",("Check")))))))))))</f>
        <v>Micro</v>
      </c>
      <c r="J63" s="49">
        <f>K63/H63</f>
        <v>1.18442623</v>
      </c>
      <c r="K63" s="92">
        <v>28900.0</v>
      </c>
      <c r="L63" s="101"/>
      <c r="M63" s="73" t="s">
        <v>35</v>
      </c>
      <c r="N63" s="53">
        <f t="shared" ref="N63:O63" si="68">U63</f>
        <v>1</v>
      </c>
      <c r="O63" s="54" t="str">
        <f t="shared" si="68"/>
        <v>TT Video</v>
      </c>
      <c r="P63" s="55">
        <f t="shared" si="3"/>
        <v>4800000</v>
      </c>
      <c r="Q63" s="93" t="s">
        <v>114</v>
      </c>
      <c r="R63" s="57"/>
      <c r="S63" s="58" t="s">
        <v>118</v>
      </c>
      <c r="T63" s="59"/>
      <c r="U63" s="68">
        <v>1.0</v>
      </c>
      <c r="V63" s="61" t="s">
        <v>37</v>
      </c>
      <c r="W63" s="62">
        <v>2500000.0</v>
      </c>
      <c r="X63" s="60">
        <f t="shared" si="4"/>
        <v>2500000</v>
      </c>
      <c r="Y63" s="63">
        <v>0.98</v>
      </c>
      <c r="Z63" s="64">
        <v>0.11</v>
      </c>
      <c r="AA63" s="65">
        <f t="shared" si="5"/>
        <v>2826020.408</v>
      </c>
      <c r="AB63" s="65">
        <f t="shared" si="6"/>
        <v>4710034.014</v>
      </c>
      <c r="AC63" s="65">
        <f t="shared" si="7"/>
        <v>4710034.014</v>
      </c>
      <c r="AD63" s="65">
        <f t="shared" si="8"/>
        <v>4800000</v>
      </c>
      <c r="AE63" s="66">
        <f t="shared" si="9"/>
        <v>0.4112457483</v>
      </c>
    </row>
    <row r="64">
      <c r="A64" s="35"/>
      <c r="B64" s="35"/>
      <c r="C64" s="35"/>
      <c r="J64" s="35"/>
      <c r="L64" s="101"/>
      <c r="M64" s="35"/>
      <c r="N64" s="53">
        <f t="shared" ref="N64:O64" si="69">U64</f>
        <v>1</v>
      </c>
      <c r="O64" s="54" t="str">
        <f t="shared" si="69"/>
        <v>Event attendance</v>
      </c>
      <c r="P64" s="55">
        <f t="shared" si="3"/>
        <v>0</v>
      </c>
      <c r="Q64" s="94"/>
      <c r="R64" s="35"/>
      <c r="S64" s="58" t="s">
        <v>42</v>
      </c>
      <c r="T64" s="59"/>
      <c r="U64" s="68">
        <v>1.0</v>
      </c>
      <c r="V64" s="61" t="s">
        <v>38</v>
      </c>
      <c r="W64" s="62"/>
      <c r="X64" s="60">
        <f t="shared" si="4"/>
        <v>0</v>
      </c>
      <c r="Y64" s="63">
        <v>0.98</v>
      </c>
      <c r="Z64" s="64">
        <v>0.11</v>
      </c>
      <c r="AA64" s="65">
        <f t="shared" si="5"/>
        <v>0</v>
      </c>
      <c r="AB64" s="65">
        <f t="shared" si="6"/>
        <v>0</v>
      </c>
      <c r="AC64" s="65">
        <f t="shared" si="7"/>
        <v>0</v>
      </c>
      <c r="AD64" s="65">
        <f t="shared" si="8"/>
        <v>0</v>
      </c>
      <c r="AE64" s="66" t="str">
        <f t="shared" si="9"/>
        <v>Calc Published Rate***)</v>
      </c>
    </row>
    <row r="65">
      <c r="A65" s="41">
        <v>31.0</v>
      </c>
      <c r="B65" s="42" t="s">
        <v>110</v>
      </c>
      <c r="C65" s="43" t="s">
        <v>52</v>
      </c>
      <c r="D65" s="70" t="s">
        <v>139</v>
      </c>
      <c r="E65" s="96" t="s">
        <v>140</v>
      </c>
      <c r="F65" s="91" t="s">
        <v>33</v>
      </c>
      <c r="G65" s="92" t="s">
        <v>86</v>
      </c>
      <c r="H65" s="92">
        <v>226600.0</v>
      </c>
      <c r="I65" s="92" t="str">
        <f>IF(ISBLANK(H65),,IF((H65&gt;=4000000),"Celebrity",(IF(AND(H65&lt;4000000, H65&gt;=1000000),"Mega",(IF(AND(H65&lt;1000000, H65&gt;=100000),"Macro",(IF(AND(H65&lt;100000, H65&gt;=10000),"Micro",(IF((H65&lt;10000),"Nano",("Check")))))))))))</f>
        <v>Macro</v>
      </c>
      <c r="J65" s="49">
        <f>K65/H65</f>
        <v>0</v>
      </c>
      <c r="K65" s="100"/>
      <c r="L65" s="101"/>
      <c r="M65" s="73" t="s">
        <v>35</v>
      </c>
      <c r="N65" s="53">
        <f t="shared" ref="N65:O65" si="70">U65</f>
        <v>1</v>
      </c>
      <c r="O65" s="54" t="str">
        <f t="shared" si="70"/>
        <v>TT Video</v>
      </c>
      <c r="P65" s="55">
        <f t="shared" si="3"/>
        <v>0</v>
      </c>
      <c r="Q65" s="89"/>
      <c r="R65" s="57"/>
      <c r="S65" s="58"/>
      <c r="T65" s="59"/>
      <c r="U65" s="68">
        <v>1.0</v>
      </c>
      <c r="V65" s="61" t="s">
        <v>37</v>
      </c>
      <c r="W65" s="62"/>
      <c r="X65" s="60">
        <f t="shared" si="4"/>
        <v>0</v>
      </c>
      <c r="Y65" s="63">
        <v>0.98</v>
      </c>
      <c r="Z65" s="64">
        <v>0.11</v>
      </c>
      <c r="AA65" s="65">
        <f t="shared" si="5"/>
        <v>0</v>
      </c>
      <c r="AB65" s="65">
        <f t="shared" si="6"/>
        <v>0</v>
      </c>
      <c r="AC65" s="65">
        <f t="shared" si="7"/>
        <v>0</v>
      </c>
      <c r="AD65" s="65">
        <f t="shared" si="8"/>
        <v>0</v>
      </c>
      <c r="AE65" s="66" t="str">
        <f t="shared" si="9"/>
        <v>Calc Published Rate***)</v>
      </c>
    </row>
    <row r="66">
      <c r="A66" s="35"/>
      <c r="B66" s="35"/>
      <c r="C66" s="35"/>
      <c r="J66" s="35"/>
      <c r="L66" s="101"/>
      <c r="M66" s="35"/>
      <c r="N66" s="53">
        <f t="shared" ref="N66:O66" si="71">U66</f>
        <v>1</v>
      </c>
      <c r="O66" s="54" t="str">
        <f t="shared" si="71"/>
        <v>Event attendance</v>
      </c>
      <c r="P66" s="55">
        <f t="shared" si="3"/>
        <v>0</v>
      </c>
      <c r="Q66" s="35"/>
      <c r="R66" s="35"/>
      <c r="S66" s="58"/>
      <c r="T66" s="59"/>
      <c r="U66" s="68">
        <v>1.0</v>
      </c>
      <c r="V66" s="61" t="s">
        <v>38</v>
      </c>
      <c r="W66" s="62"/>
      <c r="X66" s="60">
        <f t="shared" si="4"/>
        <v>0</v>
      </c>
      <c r="Y66" s="63">
        <v>0.98</v>
      </c>
      <c r="Z66" s="64">
        <v>0.11</v>
      </c>
      <c r="AA66" s="65">
        <f t="shared" si="5"/>
        <v>0</v>
      </c>
      <c r="AB66" s="65">
        <f t="shared" si="6"/>
        <v>0</v>
      </c>
      <c r="AC66" s="65">
        <f t="shared" si="7"/>
        <v>0</v>
      </c>
      <c r="AD66" s="65">
        <f t="shared" si="8"/>
        <v>0</v>
      </c>
      <c r="AE66" s="66" t="str">
        <f t="shared" si="9"/>
        <v>Calc Published Rate***)</v>
      </c>
    </row>
    <row r="67">
      <c r="A67" s="41">
        <v>32.0</v>
      </c>
      <c r="B67" s="42" t="s">
        <v>110</v>
      </c>
      <c r="C67" s="43" t="s">
        <v>52</v>
      </c>
      <c r="D67" s="70" t="s">
        <v>141</v>
      </c>
      <c r="E67" s="96" t="s">
        <v>142</v>
      </c>
      <c r="F67" s="91" t="s">
        <v>33</v>
      </c>
      <c r="G67" s="92" t="s">
        <v>86</v>
      </c>
      <c r="H67" s="92">
        <v>670400.0</v>
      </c>
      <c r="I67" s="92" t="str">
        <f>IF(ISBLANK(H67),,IF((H67&gt;=4000000),"Celebrity",(IF(AND(H67&lt;4000000, H67&gt;=1000000),"Mega",(IF(AND(H67&lt;1000000, H67&gt;=100000),"Macro",(IF(AND(H67&lt;100000, H67&gt;=10000),"Micro",(IF((H67&lt;10000),"Nano",("Check")))))))))))</f>
        <v>Macro</v>
      </c>
      <c r="J67" s="49">
        <f>K67/H67</f>
        <v>0</v>
      </c>
      <c r="K67" s="100"/>
      <c r="L67" s="101"/>
      <c r="M67" s="73" t="s">
        <v>35</v>
      </c>
      <c r="N67" s="53">
        <f t="shared" ref="N67:O67" si="72">U67</f>
        <v>1</v>
      </c>
      <c r="O67" s="54" t="str">
        <f t="shared" si="72"/>
        <v>TT Video</v>
      </c>
      <c r="P67" s="55">
        <f t="shared" si="3"/>
        <v>0</v>
      </c>
      <c r="Q67" s="89"/>
      <c r="R67" s="57"/>
      <c r="S67" s="58"/>
      <c r="T67" s="59"/>
      <c r="U67" s="68">
        <v>1.0</v>
      </c>
      <c r="V67" s="61" t="s">
        <v>37</v>
      </c>
      <c r="W67" s="62"/>
      <c r="X67" s="60">
        <f t="shared" si="4"/>
        <v>0</v>
      </c>
      <c r="Y67" s="63">
        <v>0.98</v>
      </c>
      <c r="Z67" s="64">
        <v>0.11</v>
      </c>
      <c r="AA67" s="65">
        <f t="shared" si="5"/>
        <v>0</v>
      </c>
      <c r="AB67" s="65">
        <f t="shared" si="6"/>
        <v>0</v>
      </c>
      <c r="AC67" s="65">
        <f t="shared" si="7"/>
        <v>0</v>
      </c>
      <c r="AD67" s="65">
        <f t="shared" si="8"/>
        <v>0</v>
      </c>
      <c r="AE67" s="66" t="str">
        <f t="shared" si="9"/>
        <v>Calc Published Rate***)</v>
      </c>
    </row>
    <row r="68">
      <c r="A68" s="35"/>
      <c r="B68" s="35"/>
      <c r="C68" s="35"/>
      <c r="J68" s="35"/>
      <c r="L68" s="101"/>
      <c r="M68" s="35"/>
      <c r="N68" s="53">
        <f t="shared" ref="N68:O68" si="73">U68</f>
        <v>1</v>
      </c>
      <c r="O68" s="54" t="str">
        <f t="shared" si="73"/>
        <v>Event attendance</v>
      </c>
      <c r="P68" s="55">
        <f t="shared" si="3"/>
        <v>0</v>
      </c>
      <c r="Q68" s="35"/>
      <c r="R68" s="35"/>
      <c r="S68" s="58"/>
      <c r="T68" s="59"/>
      <c r="U68" s="68">
        <v>1.0</v>
      </c>
      <c r="V68" s="61" t="s">
        <v>38</v>
      </c>
      <c r="W68" s="62"/>
      <c r="X68" s="60">
        <f t="shared" si="4"/>
        <v>0</v>
      </c>
      <c r="Y68" s="63">
        <v>0.98</v>
      </c>
      <c r="Z68" s="64">
        <v>0.11</v>
      </c>
      <c r="AA68" s="65">
        <f t="shared" si="5"/>
        <v>0</v>
      </c>
      <c r="AB68" s="65">
        <f t="shared" si="6"/>
        <v>0</v>
      </c>
      <c r="AC68" s="65">
        <f t="shared" si="7"/>
        <v>0</v>
      </c>
      <c r="AD68" s="65">
        <f t="shared" si="8"/>
        <v>0</v>
      </c>
      <c r="AE68" s="66" t="str">
        <f t="shared" si="9"/>
        <v>Calc Published Rate***)</v>
      </c>
    </row>
    <row r="69">
      <c r="A69" s="41">
        <v>33.0</v>
      </c>
      <c r="B69" s="42" t="s">
        <v>110</v>
      </c>
      <c r="C69" s="43" t="s">
        <v>39</v>
      </c>
      <c r="D69" s="70" t="s">
        <v>143</v>
      </c>
      <c r="E69" s="96" t="s">
        <v>144</v>
      </c>
      <c r="F69" s="91" t="s">
        <v>33</v>
      </c>
      <c r="G69" s="92" t="s">
        <v>86</v>
      </c>
      <c r="H69" s="92">
        <v>1538.0</v>
      </c>
      <c r="I69" s="92" t="str">
        <f>IF(ISBLANK(H69),,IF((H69&gt;=4000000),"Celebrity",(IF(AND(H69&lt;4000000, H69&gt;=1000000),"Mega",(IF(AND(H69&lt;1000000, H69&gt;=100000),"Macro",(IF(AND(H69&lt;100000, H69&gt;=10000),"Micro",(IF((H69&lt;10000),"Nano",("Check")))))))))))</f>
        <v>Nano</v>
      </c>
      <c r="J69" s="49">
        <f>K69/H69</f>
        <v>0.7672301691</v>
      </c>
      <c r="K69" s="92">
        <v>1180.0</v>
      </c>
      <c r="L69" s="101"/>
      <c r="M69" s="73" t="s">
        <v>35</v>
      </c>
      <c r="N69" s="53">
        <f t="shared" ref="N69:O69" si="74">U69</f>
        <v>1</v>
      </c>
      <c r="O69" s="54" t="str">
        <f t="shared" si="74"/>
        <v>TT Video</v>
      </c>
      <c r="P69" s="55">
        <f t="shared" si="3"/>
        <v>1700000</v>
      </c>
      <c r="Q69" s="93" t="s">
        <v>114</v>
      </c>
      <c r="R69" s="57"/>
      <c r="S69" s="58" t="s">
        <v>118</v>
      </c>
      <c r="T69" s="59"/>
      <c r="U69" s="68">
        <v>1.0</v>
      </c>
      <c r="V69" s="61" t="s">
        <v>37</v>
      </c>
      <c r="W69" s="62">
        <v>850000.0</v>
      </c>
      <c r="X69" s="60">
        <f t="shared" si="4"/>
        <v>850000</v>
      </c>
      <c r="Y69" s="63">
        <v>0.98</v>
      </c>
      <c r="Z69" s="64">
        <v>0.11</v>
      </c>
      <c r="AA69" s="65">
        <f t="shared" si="5"/>
        <v>960846.9388</v>
      </c>
      <c r="AB69" s="65">
        <f t="shared" si="6"/>
        <v>1601411.565</v>
      </c>
      <c r="AC69" s="65">
        <f t="shared" si="7"/>
        <v>1601411.565</v>
      </c>
      <c r="AD69" s="65">
        <f t="shared" si="8"/>
        <v>1700000</v>
      </c>
      <c r="AE69" s="66">
        <f t="shared" si="9"/>
        <v>0.4347959184</v>
      </c>
    </row>
    <row r="70">
      <c r="A70" s="35"/>
      <c r="B70" s="35"/>
      <c r="C70" s="35"/>
      <c r="J70" s="35"/>
      <c r="L70" s="101"/>
      <c r="M70" s="35"/>
      <c r="N70" s="53">
        <f t="shared" ref="N70:O70" si="75">U70</f>
        <v>1</v>
      </c>
      <c r="O70" s="54" t="str">
        <f t="shared" si="75"/>
        <v>Event attendance</v>
      </c>
      <c r="P70" s="55">
        <f t="shared" si="3"/>
        <v>0</v>
      </c>
      <c r="Q70" s="94"/>
      <c r="R70" s="35"/>
      <c r="S70" s="58" t="s">
        <v>42</v>
      </c>
      <c r="T70" s="59"/>
      <c r="U70" s="68">
        <v>1.0</v>
      </c>
      <c r="V70" s="61" t="s">
        <v>38</v>
      </c>
      <c r="W70" s="62"/>
      <c r="X70" s="60">
        <f t="shared" si="4"/>
        <v>0</v>
      </c>
      <c r="Y70" s="63">
        <v>0.98</v>
      </c>
      <c r="Z70" s="64">
        <v>0.11</v>
      </c>
      <c r="AA70" s="65">
        <f t="shared" si="5"/>
        <v>0</v>
      </c>
      <c r="AB70" s="65">
        <f t="shared" si="6"/>
        <v>0</v>
      </c>
      <c r="AC70" s="65">
        <f t="shared" si="7"/>
        <v>0</v>
      </c>
      <c r="AD70" s="65">
        <f t="shared" si="8"/>
        <v>0</v>
      </c>
      <c r="AE70" s="66" t="str">
        <f t="shared" si="9"/>
        <v>Calc Published Rate***)</v>
      </c>
    </row>
    <row r="71">
      <c r="A71" s="101"/>
      <c r="B71" s="101"/>
      <c r="C71" s="104"/>
      <c r="D71" s="105"/>
      <c r="E71" s="106"/>
      <c r="F71" s="101"/>
      <c r="G71" s="101"/>
      <c r="H71" s="107"/>
      <c r="I71" s="107"/>
      <c r="J71" s="101"/>
      <c r="K71" s="107"/>
      <c r="L71" s="107"/>
      <c r="M71" s="101"/>
      <c r="N71" s="101"/>
      <c r="O71" s="101"/>
      <c r="P71" s="101"/>
      <c r="Q71" s="104"/>
      <c r="R71" s="104"/>
      <c r="S71" s="104"/>
      <c r="T71" s="101"/>
      <c r="U71" s="101"/>
      <c r="V71" s="101"/>
      <c r="W71" s="101"/>
      <c r="X71" s="101"/>
      <c r="Y71" s="108"/>
      <c r="Z71" s="101"/>
      <c r="AA71" s="101"/>
      <c r="AB71" s="101"/>
      <c r="AC71" s="101"/>
      <c r="AD71" s="101"/>
      <c r="AE71" s="101"/>
    </row>
    <row r="72">
      <c r="A72" s="101"/>
      <c r="B72" s="101"/>
      <c r="C72" s="104"/>
      <c r="D72" s="105"/>
      <c r="E72" s="106"/>
      <c r="F72" s="101"/>
      <c r="G72" s="101"/>
      <c r="H72" s="107"/>
      <c r="I72" s="107"/>
      <c r="J72" s="101"/>
      <c r="K72" s="107"/>
      <c r="L72" s="107"/>
      <c r="M72" s="101"/>
      <c r="N72" s="101"/>
      <c r="O72" s="101"/>
      <c r="P72" s="101"/>
      <c r="Q72" s="104"/>
      <c r="R72" s="104"/>
      <c r="S72" s="104"/>
      <c r="T72" s="101"/>
      <c r="U72" s="101"/>
      <c r="V72" s="101"/>
      <c r="W72" s="101"/>
      <c r="X72" s="101"/>
      <c r="Y72" s="108"/>
      <c r="Z72" s="101"/>
      <c r="AA72" s="101"/>
      <c r="AB72" s="101"/>
      <c r="AC72" s="101"/>
      <c r="AD72" s="101"/>
      <c r="AE72" s="101"/>
    </row>
    <row r="73">
      <c r="A73" s="101"/>
      <c r="B73" s="101"/>
      <c r="C73" s="104"/>
      <c r="D73" s="105"/>
      <c r="E73" s="106"/>
      <c r="F73" s="101"/>
      <c r="G73" s="101"/>
      <c r="H73" s="107"/>
      <c r="I73" s="107"/>
      <c r="J73" s="101"/>
      <c r="K73" s="107"/>
      <c r="L73" s="107"/>
      <c r="M73" s="101"/>
      <c r="N73" s="101"/>
      <c r="O73" s="101"/>
      <c r="P73" s="101"/>
      <c r="Q73" s="104"/>
      <c r="R73" s="104"/>
      <c r="S73" s="104"/>
      <c r="T73" s="101"/>
      <c r="U73" s="101"/>
      <c r="V73" s="101"/>
      <c r="W73" s="101"/>
      <c r="X73" s="101"/>
      <c r="Y73" s="108"/>
      <c r="Z73" s="101"/>
      <c r="AA73" s="101"/>
      <c r="AB73" s="101"/>
      <c r="AC73" s="101"/>
      <c r="AD73" s="101"/>
      <c r="AE73" s="101"/>
    </row>
    <row r="74">
      <c r="A74" s="101"/>
      <c r="B74" s="101"/>
      <c r="C74" s="104"/>
      <c r="D74" s="105"/>
      <c r="E74" s="106"/>
      <c r="F74" s="101"/>
      <c r="G74" s="101"/>
      <c r="H74" s="107"/>
      <c r="I74" s="107"/>
      <c r="J74" s="101"/>
      <c r="K74" s="107"/>
      <c r="L74" s="107"/>
      <c r="M74" s="101"/>
      <c r="N74" s="101"/>
      <c r="O74" s="101"/>
      <c r="P74" s="101"/>
      <c r="Q74" s="104"/>
      <c r="R74" s="104"/>
      <c r="S74" s="104"/>
      <c r="T74" s="101"/>
      <c r="U74" s="101"/>
      <c r="V74" s="101"/>
      <c r="W74" s="101"/>
      <c r="X74" s="101"/>
      <c r="Y74" s="108"/>
      <c r="Z74" s="101"/>
      <c r="AA74" s="101"/>
      <c r="AB74" s="101"/>
      <c r="AC74" s="101"/>
      <c r="AD74" s="101"/>
      <c r="AE74" s="101"/>
    </row>
    <row r="75">
      <c r="A75" s="101"/>
      <c r="B75" s="101"/>
      <c r="C75" s="104"/>
      <c r="D75" s="105"/>
      <c r="E75" s="106"/>
      <c r="F75" s="101"/>
      <c r="G75" s="101"/>
      <c r="H75" s="107"/>
      <c r="I75" s="107"/>
      <c r="J75" s="101"/>
      <c r="K75" s="107"/>
      <c r="L75" s="107"/>
      <c r="M75" s="101"/>
      <c r="N75" s="101"/>
      <c r="O75" s="101"/>
      <c r="P75" s="101"/>
      <c r="Q75" s="104"/>
      <c r="R75" s="104"/>
      <c r="S75" s="104"/>
      <c r="T75" s="101"/>
      <c r="U75" s="101"/>
      <c r="V75" s="101"/>
      <c r="W75" s="101"/>
      <c r="X75" s="101"/>
      <c r="Y75" s="108"/>
      <c r="Z75" s="101"/>
      <c r="AA75" s="101"/>
      <c r="AB75" s="101"/>
      <c r="AC75" s="101"/>
      <c r="AD75" s="101"/>
      <c r="AE75" s="101"/>
    </row>
    <row r="76">
      <c r="A76" s="101"/>
      <c r="B76" s="101"/>
      <c r="C76" s="104"/>
      <c r="D76" s="105"/>
      <c r="E76" s="106"/>
      <c r="F76" s="101"/>
      <c r="G76" s="101"/>
      <c r="H76" s="107"/>
      <c r="I76" s="107"/>
      <c r="J76" s="101"/>
      <c r="K76" s="107"/>
      <c r="L76" s="107"/>
      <c r="M76" s="101"/>
      <c r="N76" s="101"/>
      <c r="O76" s="101"/>
      <c r="P76" s="101"/>
      <c r="Q76" s="104"/>
      <c r="R76" s="104"/>
      <c r="S76" s="104"/>
      <c r="T76" s="101"/>
      <c r="U76" s="101"/>
      <c r="V76" s="101"/>
      <c r="W76" s="101"/>
      <c r="X76" s="101"/>
      <c r="Y76" s="108"/>
      <c r="Z76" s="101"/>
      <c r="AA76" s="101"/>
      <c r="AB76" s="101"/>
      <c r="AC76" s="101"/>
      <c r="AD76" s="101"/>
      <c r="AE76" s="101"/>
    </row>
    <row r="77">
      <c r="A77" s="101"/>
      <c r="B77" s="101"/>
      <c r="C77" s="104"/>
      <c r="D77" s="105"/>
      <c r="E77" s="106"/>
      <c r="F77" s="101"/>
      <c r="G77" s="101"/>
      <c r="H77" s="107"/>
      <c r="I77" s="107"/>
      <c r="J77" s="101"/>
      <c r="K77" s="107"/>
      <c r="L77" s="107"/>
      <c r="M77" s="101"/>
      <c r="N77" s="101"/>
      <c r="O77" s="101"/>
      <c r="P77" s="101"/>
      <c r="Q77" s="104"/>
      <c r="R77" s="104"/>
      <c r="S77" s="104"/>
      <c r="T77" s="101"/>
      <c r="U77" s="101"/>
      <c r="V77" s="101"/>
      <c r="W77" s="101"/>
      <c r="X77" s="101"/>
      <c r="Y77" s="108"/>
      <c r="Z77" s="101"/>
      <c r="AA77" s="101"/>
      <c r="AB77" s="101"/>
      <c r="AC77" s="101"/>
      <c r="AD77" s="101"/>
      <c r="AE77" s="101"/>
    </row>
    <row r="78">
      <c r="A78" s="101"/>
      <c r="B78" s="101"/>
      <c r="C78" s="104"/>
      <c r="D78" s="105"/>
      <c r="E78" s="106"/>
      <c r="F78" s="101"/>
      <c r="G78" s="101"/>
      <c r="H78" s="107"/>
      <c r="I78" s="107"/>
      <c r="J78" s="101"/>
      <c r="K78" s="107"/>
      <c r="L78" s="107"/>
      <c r="M78" s="101"/>
      <c r="N78" s="101"/>
      <c r="O78" s="101"/>
      <c r="P78" s="101"/>
      <c r="Q78" s="104"/>
      <c r="R78" s="104"/>
      <c r="S78" s="104"/>
      <c r="T78" s="101"/>
      <c r="U78" s="101"/>
      <c r="V78" s="101"/>
      <c r="W78" s="101"/>
      <c r="X78" s="101"/>
      <c r="Y78" s="108"/>
      <c r="Z78" s="101"/>
      <c r="AA78" s="101"/>
      <c r="AB78" s="101"/>
      <c r="AC78" s="101"/>
      <c r="AD78" s="101"/>
      <c r="AE78" s="101"/>
    </row>
    <row r="79">
      <c r="A79" s="101"/>
      <c r="B79" s="101"/>
      <c r="C79" s="104"/>
      <c r="D79" s="105"/>
      <c r="E79" s="106"/>
      <c r="F79" s="101"/>
      <c r="G79" s="101"/>
      <c r="H79" s="107"/>
      <c r="I79" s="107"/>
      <c r="J79" s="101"/>
      <c r="K79" s="107"/>
      <c r="L79" s="107"/>
      <c r="M79" s="101"/>
      <c r="N79" s="101"/>
      <c r="O79" s="101"/>
      <c r="P79" s="101"/>
      <c r="Q79" s="104"/>
      <c r="R79" s="104"/>
      <c r="S79" s="104"/>
      <c r="T79" s="101"/>
      <c r="U79" s="101"/>
      <c r="V79" s="101"/>
      <c r="W79" s="101"/>
      <c r="X79" s="101"/>
      <c r="Y79" s="108"/>
      <c r="Z79" s="101"/>
      <c r="AA79" s="101"/>
      <c r="AB79" s="101"/>
      <c r="AC79" s="101"/>
      <c r="AD79" s="101"/>
      <c r="AE79" s="101"/>
    </row>
    <row r="80">
      <c r="A80" s="101"/>
      <c r="B80" s="101"/>
      <c r="C80" s="104"/>
      <c r="D80" s="105"/>
      <c r="E80" s="106"/>
      <c r="F80" s="101"/>
      <c r="G80" s="101"/>
      <c r="H80" s="107"/>
      <c r="I80" s="107"/>
      <c r="J80" s="101"/>
      <c r="K80" s="107"/>
      <c r="L80" s="107"/>
      <c r="M80" s="101"/>
      <c r="N80" s="101"/>
      <c r="O80" s="101"/>
      <c r="P80" s="101"/>
      <c r="Q80" s="104"/>
      <c r="R80" s="104"/>
      <c r="S80" s="104"/>
      <c r="T80" s="101"/>
      <c r="U80" s="101"/>
      <c r="V80" s="101"/>
      <c r="W80" s="101"/>
      <c r="X80" s="101"/>
      <c r="Y80" s="108"/>
      <c r="Z80" s="101"/>
      <c r="AA80" s="101"/>
      <c r="AB80" s="101"/>
      <c r="AC80" s="101"/>
      <c r="AD80" s="101"/>
      <c r="AE80" s="101"/>
    </row>
    <row r="81">
      <c r="A81" s="101"/>
      <c r="B81" s="101"/>
      <c r="C81" s="104"/>
      <c r="D81" s="105"/>
      <c r="E81" s="106"/>
      <c r="F81" s="101"/>
      <c r="G81" s="101"/>
      <c r="H81" s="107"/>
      <c r="I81" s="107"/>
      <c r="J81" s="101"/>
      <c r="K81" s="107"/>
      <c r="L81" s="107"/>
      <c r="M81" s="101"/>
      <c r="N81" s="101"/>
      <c r="O81" s="101"/>
      <c r="P81" s="101"/>
      <c r="Q81" s="104"/>
      <c r="R81" s="104"/>
      <c r="S81" s="104"/>
      <c r="T81" s="101"/>
      <c r="U81" s="101"/>
      <c r="V81" s="101"/>
      <c r="W81" s="101"/>
      <c r="X81" s="101"/>
      <c r="Y81" s="108"/>
      <c r="Z81" s="101"/>
      <c r="AA81" s="101"/>
      <c r="AB81" s="101"/>
      <c r="AC81" s="101"/>
      <c r="AD81" s="101"/>
      <c r="AE81" s="101"/>
    </row>
    <row r="82">
      <c r="A82" s="101"/>
      <c r="B82" s="101"/>
      <c r="C82" s="104"/>
      <c r="D82" s="105"/>
      <c r="E82" s="106"/>
      <c r="F82" s="101"/>
      <c r="G82" s="101"/>
      <c r="H82" s="107"/>
      <c r="I82" s="107"/>
      <c r="J82" s="101"/>
      <c r="K82" s="107"/>
      <c r="L82" s="107"/>
      <c r="M82" s="101"/>
      <c r="N82" s="101"/>
      <c r="O82" s="101"/>
      <c r="P82" s="101"/>
      <c r="Q82" s="104"/>
      <c r="R82" s="104"/>
      <c r="S82" s="104"/>
      <c r="T82" s="101"/>
      <c r="U82" s="101"/>
      <c r="V82" s="101"/>
      <c r="W82" s="101"/>
      <c r="X82" s="101"/>
      <c r="Y82" s="108"/>
      <c r="Z82" s="101"/>
      <c r="AA82" s="101"/>
      <c r="AB82" s="101"/>
      <c r="AC82" s="101"/>
      <c r="AD82" s="101"/>
      <c r="AE82" s="101"/>
    </row>
    <row r="83">
      <c r="A83" s="101"/>
      <c r="B83" s="101"/>
      <c r="C83" s="104"/>
      <c r="D83" s="105"/>
      <c r="E83" s="106"/>
      <c r="F83" s="101"/>
      <c r="G83" s="101"/>
      <c r="H83" s="107"/>
      <c r="I83" s="107"/>
      <c r="J83" s="101"/>
      <c r="K83" s="107"/>
      <c r="L83" s="107"/>
      <c r="M83" s="101"/>
      <c r="N83" s="101"/>
      <c r="O83" s="101"/>
      <c r="P83" s="101"/>
      <c r="Q83" s="104"/>
      <c r="R83" s="104"/>
      <c r="S83" s="104"/>
      <c r="T83" s="101"/>
      <c r="U83" s="101"/>
      <c r="V83" s="101"/>
      <c r="W83" s="101"/>
      <c r="X83" s="101"/>
      <c r="Y83" s="108"/>
      <c r="Z83" s="101"/>
      <c r="AA83" s="101"/>
      <c r="AB83" s="101"/>
      <c r="AC83" s="101"/>
      <c r="AD83" s="101"/>
      <c r="AE83" s="101"/>
    </row>
    <row r="84">
      <c r="A84" s="101"/>
      <c r="B84" s="101"/>
      <c r="C84" s="104"/>
      <c r="D84" s="105"/>
      <c r="E84" s="106"/>
      <c r="F84" s="101"/>
      <c r="G84" s="101"/>
      <c r="H84" s="107"/>
      <c r="I84" s="107"/>
      <c r="J84" s="101"/>
      <c r="K84" s="107"/>
      <c r="L84" s="107"/>
      <c r="M84" s="101"/>
      <c r="N84" s="101"/>
      <c r="O84" s="101"/>
      <c r="P84" s="101"/>
      <c r="Q84" s="104"/>
      <c r="R84" s="104"/>
      <c r="S84" s="104"/>
      <c r="T84" s="101"/>
      <c r="U84" s="101"/>
      <c r="V84" s="101"/>
      <c r="W84" s="101"/>
      <c r="X84" s="101"/>
      <c r="Y84" s="108"/>
      <c r="Z84" s="101"/>
      <c r="AA84" s="101"/>
      <c r="AB84" s="101"/>
      <c r="AC84" s="101"/>
      <c r="AD84" s="101"/>
      <c r="AE84" s="101"/>
    </row>
    <row r="85">
      <c r="A85" s="101"/>
      <c r="B85" s="101"/>
      <c r="C85" s="104"/>
      <c r="D85" s="105"/>
      <c r="E85" s="106"/>
      <c r="F85" s="101"/>
      <c r="G85" s="101"/>
      <c r="H85" s="107"/>
      <c r="I85" s="107"/>
      <c r="J85" s="101"/>
      <c r="K85" s="107"/>
      <c r="L85" s="107"/>
      <c r="M85" s="101"/>
      <c r="N85" s="101"/>
      <c r="O85" s="101"/>
      <c r="P85" s="101"/>
      <c r="Q85" s="104"/>
      <c r="R85" s="104"/>
      <c r="S85" s="104"/>
      <c r="T85" s="101"/>
      <c r="U85" s="101"/>
      <c r="V85" s="101"/>
      <c r="W85" s="101"/>
      <c r="X85" s="101"/>
      <c r="Y85" s="108"/>
      <c r="Z85" s="101"/>
      <c r="AA85" s="101"/>
      <c r="AB85" s="101"/>
      <c r="AC85" s="101"/>
      <c r="AD85" s="101"/>
      <c r="AE85" s="101"/>
    </row>
    <row r="86">
      <c r="A86" s="101"/>
      <c r="B86" s="101"/>
      <c r="C86" s="104"/>
      <c r="D86" s="105"/>
      <c r="E86" s="106"/>
      <c r="F86" s="101"/>
      <c r="G86" s="101"/>
      <c r="H86" s="107"/>
      <c r="I86" s="107"/>
      <c r="J86" s="101"/>
      <c r="K86" s="107"/>
      <c r="L86" s="107"/>
      <c r="M86" s="101"/>
      <c r="N86" s="101"/>
      <c r="O86" s="101"/>
      <c r="P86" s="101"/>
      <c r="Q86" s="104"/>
      <c r="R86" s="104"/>
      <c r="S86" s="104"/>
      <c r="T86" s="101"/>
      <c r="U86" s="101"/>
      <c r="V86" s="101"/>
      <c r="W86" s="101"/>
      <c r="X86" s="101"/>
      <c r="Y86" s="108"/>
      <c r="Z86" s="101"/>
      <c r="AA86" s="101"/>
      <c r="AB86" s="101"/>
      <c r="AC86" s="101"/>
      <c r="AD86" s="101"/>
      <c r="AE86" s="101"/>
    </row>
    <row r="87">
      <c r="A87" s="101"/>
      <c r="B87" s="101"/>
      <c r="C87" s="104"/>
      <c r="D87" s="105"/>
      <c r="E87" s="106"/>
      <c r="F87" s="101"/>
      <c r="G87" s="101"/>
      <c r="H87" s="107"/>
      <c r="I87" s="107"/>
      <c r="J87" s="101"/>
      <c r="K87" s="107"/>
      <c r="L87" s="107"/>
      <c r="M87" s="101"/>
      <c r="N87" s="101"/>
      <c r="O87" s="101"/>
      <c r="P87" s="101"/>
      <c r="Q87" s="104"/>
      <c r="R87" s="104"/>
      <c r="S87" s="104"/>
      <c r="T87" s="101"/>
      <c r="U87" s="101"/>
      <c r="V87" s="101"/>
      <c r="W87" s="101"/>
      <c r="X87" s="101"/>
      <c r="Y87" s="108"/>
      <c r="Z87" s="101"/>
      <c r="AA87" s="101"/>
      <c r="AB87" s="101"/>
      <c r="AC87" s="101"/>
      <c r="AD87" s="101"/>
      <c r="AE87" s="101"/>
    </row>
    <row r="88">
      <c r="A88" s="101"/>
      <c r="B88" s="101"/>
      <c r="C88" s="104"/>
      <c r="D88" s="105"/>
      <c r="E88" s="106"/>
      <c r="F88" s="101"/>
      <c r="G88" s="101"/>
      <c r="H88" s="107"/>
      <c r="I88" s="107"/>
      <c r="J88" s="101"/>
      <c r="K88" s="107"/>
      <c r="L88" s="107"/>
      <c r="M88" s="101"/>
      <c r="N88" s="101"/>
      <c r="O88" s="101"/>
      <c r="P88" s="101"/>
      <c r="Q88" s="104"/>
      <c r="R88" s="104"/>
      <c r="S88" s="104"/>
      <c r="T88" s="101"/>
      <c r="U88" s="101"/>
      <c r="V88" s="101"/>
      <c r="W88" s="101"/>
      <c r="X88" s="101"/>
      <c r="Y88" s="108"/>
      <c r="Z88" s="101"/>
      <c r="AA88" s="101"/>
      <c r="AB88" s="101"/>
      <c r="AC88" s="101"/>
      <c r="AD88" s="101"/>
      <c r="AE88" s="101"/>
    </row>
    <row r="89">
      <c r="A89" s="101"/>
      <c r="B89" s="101"/>
      <c r="C89" s="104"/>
      <c r="D89" s="105"/>
      <c r="E89" s="106"/>
      <c r="F89" s="101"/>
      <c r="G89" s="101"/>
      <c r="H89" s="107"/>
      <c r="I89" s="107"/>
      <c r="J89" s="101"/>
      <c r="K89" s="107"/>
      <c r="L89" s="107"/>
      <c r="M89" s="101"/>
      <c r="N89" s="101"/>
      <c r="O89" s="101"/>
      <c r="P89" s="101"/>
      <c r="Q89" s="104"/>
      <c r="R89" s="104"/>
      <c r="S89" s="104"/>
      <c r="T89" s="101"/>
      <c r="U89" s="101"/>
      <c r="V89" s="101"/>
      <c r="W89" s="101"/>
      <c r="X89" s="101"/>
      <c r="Y89" s="108"/>
      <c r="Z89" s="101"/>
      <c r="AA89" s="101"/>
      <c r="AB89" s="101"/>
      <c r="AC89" s="101"/>
      <c r="AD89" s="101"/>
      <c r="AE89" s="101"/>
    </row>
    <row r="90">
      <c r="A90" s="101"/>
      <c r="B90" s="101"/>
      <c r="C90" s="104"/>
      <c r="D90" s="105"/>
      <c r="E90" s="106"/>
      <c r="F90" s="101"/>
      <c r="G90" s="101"/>
      <c r="H90" s="107"/>
      <c r="I90" s="107"/>
      <c r="J90" s="101"/>
      <c r="K90" s="107"/>
      <c r="L90" s="107"/>
      <c r="M90" s="101"/>
      <c r="N90" s="101"/>
      <c r="O90" s="101"/>
      <c r="P90" s="101"/>
      <c r="Q90" s="104"/>
      <c r="R90" s="104"/>
      <c r="S90" s="104"/>
      <c r="T90" s="101"/>
      <c r="U90" s="101"/>
      <c r="V90" s="101"/>
      <c r="W90" s="101"/>
      <c r="X90" s="101"/>
      <c r="Y90" s="108"/>
      <c r="Z90" s="101"/>
      <c r="AA90" s="101"/>
      <c r="AB90" s="101"/>
      <c r="AC90" s="101"/>
      <c r="AD90" s="101"/>
      <c r="AE90" s="101"/>
    </row>
    <row r="91">
      <c r="A91" s="101"/>
      <c r="B91" s="101"/>
      <c r="C91" s="104"/>
      <c r="D91" s="105"/>
      <c r="E91" s="106"/>
      <c r="F91" s="101"/>
      <c r="G91" s="101"/>
      <c r="H91" s="107"/>
      <c r="I91" s="107"/>
      <c r="J91" s="101"/>
      <c r="K91" s="107"/>
      <c r="L91" s="107"/>
      <c r="M91" s="101"/>
      <c r="N91" s="101"/>
      <c r="O91" s="101"/>
      <c r="P91" s="101"/>
      <c r="Q91" s="104"/>
      <c r="R91" s="104"/>
      <c r="S91" s="104"/>
      <c r="T91" s="101"/>
      <c r="U91" s="101"/>
      <c r="V91" s="101"/>
      <c r="W91" s="101"/>
      <c r="X91" s="101"/>
      <c r="Y91" s="108"/>
      <c r="Z91" s="101"/>
      <c r="AA91" s="101"/>
      <c r="AB91" s="101"/>
      <c r="AC91" s="101"/>
      <c r="AD91" s="101"/>
      <c r="AE91" s="101"/>
    </row>
    <row r="92">
      <c r="A92" s="101"/>
      <c r="B92" s="101"/>
      <c r="C92" s="104"/>
      <c r="D92" s="105"/>
      <c r="E92" s="106"/>
      <c r="F92" s="101"/>
      <c r="G92" s="101"/>
      <c r="H92" s="107"/>
      <c r="I92" s="107"/>
      <c r="J92" s="101"/>
      <c r="K92" s="107"/>
      <c r="L92" s="107"/>
      <c r="M92" s="101"/>
      <c r="N92" s="101"/>
      <c r="O92" s="101"/>
      <c r="P92" s="101"/>
      <c r="Q92" s="104"/>
      <c r="R92" s="104"/>
      <c r="S92" s="104"/>
      <c r="T92" s="101"/>
      <c r="U92" s="101"/>
      <c r="V92" s="101"/>
      <c r="W92" s="101"/>
      <c r="X92" s="101"/>
      <c r="Y92" s="108"/>
      <c r="Z92" s="101"/>
      <c r="AA92" s="101"/>
      <c r="AB92" s="101"/>
      <c r="AC92" s="101"/>
      <c r="AD92" s="101"/>
      <c r="AE92" s="101"/>
    </row>
    <row r="93">
      <c r="A93" s="101"/>
      <c r="B93" s="101"/>
      <c r="C93" s="104"/>
      <c r="D93" s="105"/>
      <c r="E93" s="106"/>
      <c r="F93" s="101"/>
      <c r="G93" s="101"/>
      <c r="H93" s="107"/>
      <c r="I93" s="107"/>
      <c r="J93" s="101"/>
      <c r="K93" s="107"/>
      <c r="L93" s="107"/>
      <c r="M93" s="101"/>
      <c r="N93" s="101"/>
      <c r="O93" s="101"/>
      <c r="P93" s="101"/>
      <c r="Q93" s="104"/>
      <c r="R93" s="104"/>
      <c r="S93" s="104"/>
      <c r="T93" s="101"/>
      <c r="U93" s="101"/>
      <c r="V93" s="101"/>
      <c r="W93" s="101"/>
      <c r="X93" s="101"/>
      <c r="Y93" s="108"/>
      <c r="Z93" s="101"/>
      <c r="AA93" s="101"/>
      <c r="AB93" s="101"/>
      <c r="AC93" s="101"/>
      <c r="AD93" s="101"/>
      <c r="AE93" s="101"/>
    </row>
    <row r="94">
      <c r="A94" s="101"/>
      <c r="B94" s="101"/>
      <c r="C94" s="104"/>
      <c r="D94" s="105"/>
      <c r="E94" s="106"/>
      <c r="F94" s="101"/>
      <c r="G94" s="101"/>
      <c r="H94" s="107"/>
      <c r="I94" s="107"/>
      <c r="J94" s="101"/>
      <c r="K94" s="107"/>
      <c r="L94" s="107"/>
      <c r="M94" s="101"/>
      <c r="N94" s="101"/>
      <c r="O94" s="101"/>
      <c r="P94" s="101"/>
      <c r="Q94" s="104"/>
      <c r="R94" s="104"/>
      <c r="S94" s="104"/>
      <c r="T94" s="101"/>
      <c r="U94" s="101"/>
      <c r="V94" s="101"/>
      <c r="W94" s="101"/>
      <c r="X94" s="101"/>
      <c r="Y94" s="108"/>
      <c r="Z94" s="101"/>
      <c r="AA94" s="101"/>
      <c r="AB94" s="101"/>
      <c r="AC94" s="101"/>
      <c r="AD94" s="101"/>
      <c r="AE94" s="101"/>
    </row>
    <row r="95">
      <c r="A95" s="101"/>
      <c r="B95" s="101"/>
      <c r="C95" s="104"/>
      <c r="D95" s="105"/>
      <c r="E95" s="106"/>
      <c r="F95" s="101"/>
      <c r="G95" s="101"/>
      <c r="H95" s="107"/>
      <c r="I95" s="107"/>
      <c r="J95" s="101"/>
      <c r="K95" s="107"/>
      <c r="L95" s="107"/>
      <c r="M95" s="101"/>
      <c r="N95" s="101"/>
      <c r="O95" s="101"/>
      <c r="P95" s="101"/>
      <c r="Q95" s="104"/>
      <c r="R95" s="104"/>
      <c r="S95" s="104"/>
      <c r="T95" s="101"/>
      <c r="U95" s="101"/>
      <c r="V95" s="101"/>
      <c r="W95" s="101"/>
      <c r="X95" s="101"/>
      <c r="Y95" s="108"/>
      <c r="Z95" s="101"/>
      <c r="AA95" s="101"/>
      <c r="AB95" s="101"/>
      <c r="AC95" s="101"/>
      <c r="AD95" s="101"/>
      <c r="AE95" s="101"/>
    </row>
    <row r="96">
      <c r="A96" s="101"/>
      <c r="B96" s="101"/>
      <c r="C96" s="104"/>
      <c r="D96" s="105"/>
      <c r="E96" s="106"/>
      <c r="F96" s="101"/>
      <c r="G96" s="101"/>
      <c r="H96" s="107"/>
      <c r="I96" s="107"/>
      <c r="J96" s="101"/>
      <c r="K96" s="107"/>
      <c r="L96" s="107"/>
      <c r="M96" s="101"/>
      <c r="N96" s="101"/>
      <c r="O96" s="101"/>
      <c r="P96" s="101"/>
      <c r="Q96" s="104"/>
      <c r="R96" s="104"/>
      <c r="S96" s="104"/>
      <c r="T96" s="101"/>
      <c r="U96" s="101"/>
      <c r="V96" s="101"/>
      <c r="W96" s="101"/>
      <c r="X96" s="101"/>
      <c r="Y96" s="108"/>
      <c r="Z96" s="101"/>
      <c r="AA96" s="101"/>
      <c r="AB96" s="101"/>
      <c r="AC96" s="101"/>
      <c r="AD96" s="101"/>
      <c r="AE96" s="101"/>
    </row>
    <row r="97">
      <c r="A97" s="101"/>
      <c r="B97" s="101"/>
      <c r="C97" s="104"/>
      <c r="D97" s="105"/>
      <c r="E97" s="106"/>
      <c r="F97" s="101"/>
      <c r="G97" s="101"/>
      <c r="H97" s="107"/>
      <c r="I97" s="107"/>
      <c r="J97" s="101"/>
      <c r="K97" s="107"/>
      <c r="L97" s="107"/>
      <c r="M97" s="101"/>
      <c r="N97" s="101"/>
      <c r="O97" s="101"/>
      <c r="P97" s="101"/>
      <c r="Q97" s="104"/>
      <c r="R97" s="104"/>
      <c r="S97" s="104"/>
      <c r="T97" s="101"/>
      <c r="U97" s="101"/>
      <c r="V97" s="101"/>
      <c r="W97" s="101"/>
      <c r="X97" s="101"/>
      <c r="Y97" s="108"/>
      <c r="Z97" s="101"/>
      <c r="AA97" s="101"/>
      <c r="AB97" s="101"/>
      <c r="AC97" s="101"/>
      <c r="AD97" s="101"/>
      <c r="AE97" s="101"/>
    </row>
    <row r="98">
      <c r="A98" s="101"/>
      <c r="B98" s="101"/>
      <c r="C98" s="104"/>
      <c r="D98" s="105"/>
      <c r="E98" s="106"/>
      <c r="F98" s="101"/>
      <c r="G98" s="101"/>
      <c r="H98" s="107"/>
      <c r="I98" s="107"/>
      <c r="J98" s="101"/>
      <c r="K98" s="107"/>
      <c r="L98" s="107"/>
      <c r="M98" s="101"/>
      <c r="N98" s="101"/>
      <c r="O98" s="101"/>
      <c r="P98" s="101"/>
      <c r="Q98" s="104"/>
      <c r="R98" s="104"/>
      <c r="S98" s="104"/>
      <c r="T98" s="101"/>
      <c r="U98" s="101"/>
      <c r="V98" s="101"/>
      <c r="W98" s="101"/>
      <c r="X98" s="101"/>
      <c r="Y98" s="108"/>
      <c r="Z98" s="101"/>
      <c r="AA98" s="101"/>
      <c r="AB98" s="101"/>
      <c r="AC98" s="101"/>
      <c r="AD98" s="101"/>
      <c r="AE98" s="101"/>
    </row>
    <row r="99">
      <c r="A99" s="101"/>
      <c r="B99" s="101"/>
      <c r="C99" s="104"/>
      <c r="D99" s="105"/>
      <c r="E99" s="106"/>
      <c r="F99" s="101"/>
      <c r="G99" s="101"/>
      <c r="H99" s="107"/>
      <c r="I99" s="107"/>
      <c r="J99" s="101"/>
      <c r="K99" s="107"/>
      <c r="L99" s="107"/>
      <c r="M99" s="101"/>
      <c r="N99" s="101"/>
      <c r="O99" s="101"/>
      <c r="P99" s="101"/>
      <c r="Q99" s="104"/>
      <c r="R99" s="104"/>
      <c r="S99" s="104"/>
      <c r="T99" s="101"/>
      <c r="U99" s="101"/>
      <c r="V99" s="101"/>
      <c r="W99" s="101"/>
      <c r="X99" s="101"/>
      <c r="Y99" s="108"/>
      <c r="Z99" s="101"/>
      <c r="AA99" s="101"/>
      <c r="AB99" s="101"/>
      <c r="AC99" s="101"/>
      <c r="AD99" s="101"/>
      <c r="AE99" s="101"/>
    </row>
    <row r="100">
      <c r="A100" s="101"/>
      <c r="B100" s="101"/>
      <c r="C100" s="104"/>
      <c r="D100" s="105"/>
      <c r="E100" s="106"/>
      <c r="F100" s="101"/>
      <c r="G100" s="101"/>
      <c r="H100" s="107"/>
      <c r="I100" s="107"/>
      <c r="J100" s="101"/>
      <c r="K100" s="107"/>
      <c r="L100" s="107"/>
      <c r="M100" s="101"/>
      <c r="N100" s="101"/>
      <c r="O100" s="101"/>
      <c r="P100" s="101"/>
      <c r="Q100" s="104"/>
      <c r="R100" s="104"/>
      <c r="S100" s="104"/>
      <c r="T100" s="101"/>
      <c r="U100" s="101"/>
      <c r="V100" s="101"/>
      <c r="W100" s="101"/>
      <c r="X100" s="101"/>
      <c r="Y100" s="108"/>
      <c r="Z100" s="101"/>
      <c r="AA100" s="101"/>
      <c r="AB100" s="101"/>
      <c r="AC100" s="101"/>
      <c r="AD100" s="101"/>
      <c r="AE100" s="101"/>
    </row>
    <row r="101">
      <c r="A101" s="101"/>
      <c r="B101" s="101"/>
      <c r="C101" s="104"/>
      <c r="D101" s="105"/>
      <c r="E101" s="106"/>
      <c r="F101" s="101"/>
      <c r="G101" s="101"/>
      <c r="H101" s="107"/>
      <c r="I101" s="107"/>
      <c r="J101" s="101"/>
      <c r="K101" s="107"/>
      <c r="L101" s="107"/>
      <c r="M101" s="101"/>
      <c r="N101" s="101"/>
      <c r="O101" s="101"/>
      <c r="P101" s="101"/>
      <c r="Q101" s="104"/>
      <c r="R101" s="104"/>
      <c r="S101" s="104"/>
      <c r="T101" s="101"/>
      <c r="U101" s="101"/>
      <c r="V101" s="101"/>
      <c r="W101" s="101"/>
      <c r="X101" s="101"/>
      <c r="Y101" s="108"/>
      <c r="Z101" s="101"/>
      <c r="AA101" s="101"/>
      <c r="AB101" s="101"/>
      <c r="AC101" s="101"/>
      <c r="AD101" s="101"/>
      <c r="AE101" s="101"/>
    </row>
    <row r="102">
      <c r="A102" s="101"/>
      <c r="B102" s="101"/>
      <c r="C102" s="104"/>
      <c r="D102" s="105"/>
      <c r="E102" s="106"/>
      <c r="F102" s="101"/>
      <c r="G102" s="101"/>
      <c r="H102" s="107"/>
      <c r="I102" s="107"/>
      <c r="J102" s="101"/>
      <c r="K102" s="107"/>
      <c r="L102" s="107"/>
      <c r="M102" s="101"/>
      <c r="N102" s="101"/>
      <c r="O102" s="101"/>
      <c r="P102" s="101"/>
      <c r="Q102" s="104"/>
      <c r="R102" s="104"/>
      <c r="S102" s="104"/>
      <c r="T102" s="101"/>
      <c r="U102" s="101"/>
      <c r="V102" s="101"/>
      <c r="W102" s="101"/>
      <c r="X102" s="101"/>
      <c r="Y102" s="108"/>
      <c r="Z102" s="101"/>
      <c r="AA102" s="101"/>
      <c r="AB102" s="101"/>
      <c r="AC102" s="101"/>
      <c r="AD102" s="101"/>
      <c r="AE102" s="101"/>
    </row>
    <row r="103">
      <c r="A103" s="101"/>
      <c r="B103" s="101"/>
      <c r="C103" s="104"/>
      <c r="D103" s="105"/>
      <c r="E103" s="106"/>
      <c r="F103" s="101"/>
      <c r="G103" s="101"/>
      <c r="H103" s="107"/>
      <c r="I103" s="107"/>
      <c r="J103" s="101"/>
      <c r="K103" s="107"/>
      <c r="L103" s="107"/>
      <c r="M103" s="101"/>
      <c r="N103" s="101"/>
      <c r="O103" s="101"/>
      <c r="P103" s="101"/>
      <c r="Q103" s="104"/>
      <c r="R103" s="104"/>
      <c r="S103" s="104"/>
      <c r="T103" s="101"/>
      <c r="U103" s="101"/>
      <c r="V103" s="101"/>
      <c r="W103" s="101"/>
      <c r="X103" s="101"/>
      <c r="Y103" s="108"/>
      <c r="Z103" s="101"/>
      <c r="AA103" s="101"/>
      <c r="AB103" s="101"/>
      <c r="AC103" s="101"/>
      <c r="AD103" s="101"/>
      <c r="AE103" s="101"/>
    </row>
    <row r="104">
      <c r="A104" s="101"/>
      <c r="B104" s="101"/>
      <c r="C104" s="104"/>
      <c r="D104" s="105"/>
      <c r="E104" s="106"/>
      <c r="F104" s="101"/>
      <c r="G104" s="101"/>
      <c r="H104" s="107"/>
      <c r="I104" s="107"/>
      <c r="J104" s="101"/>
      <c r="K104" s="107"/>
      <c r="L104" s="107"/>
      <c r="M104" s="101"/>
      <c r="N104" s="101"/>
      <c r="O104" s="101"/>
      <c r="P104" s="101"/>
      <c r="Q104" s="104"/>
      <c r="R104" s="104"/>
      <c r="S104" s="104"/>
      <c r="T104" s="101"/>
      <c r="U104" s="101"/>
      <c r="V104" s="101"/>
      <c r="W104" s="101"/>
      <c r="X104" s="101"/>
      <c r="Y104" s="108"/>
      <c r="Z104" s="101"/>
      <c r="AA104" s="101"/>
      <c r="AB104" s="101"/>
      <c r="AC104" s="101"/>
      <c r="AD104" s="101"/>
      <c r="AE104" s="101"/>
    </row>
    <row r="105">
      <c r="A105" s="101"/>
      <c r="B105" s="101"/>
      <c r="C105" s="104"/>
      <c r="D105" s="105"/>
      <c r="E105" s="106"/>
      <c r="F105" s="101"/>
      <c r="G105" s="101"/>
      <c r="H105" s="107"/>
      <c r="I105" s="107"/>
      <c r="J105" s="101"/>
      <c r="K105" s="107"/>
      <c r="L105" s="107"/>
      <c r="M105" s="101"/>
      <c r="N105" s="101"/>
      <c r="O105" s="101"/>
      <c r="P105" s="101"/>
      <c r="Q105" s="104"/>
      <c r="R105" s="104"/>
      <c r="S105" s="104"/>
      <c r="T105" s="101"/>
      <c r="U105" s="101"/>
      <c r="V105" s="101"/>
      <c r="W105" s="101"/>
      <c r="X105" s="101"/>
      <c r="Y105" s="108"/>
      <c r="Z105" s="101"/>
      <c r="AA105" s="101"/>
      <c r="AB105" s="101"/>
      <c r="AC105" s="101"/>
      <c r="AD105" s="101"/>
      <c r="AE105" s="101"/>
    </row>
    <row r="106">
      <c r="A106" s="101"/>
      <c r="B106" s="101"/>
      <c r="C106" s="104"/>
      <c r="D106" s="105"/>
      <c r="E106" s="106"/>
      <c r="F106" s="101"/>
      <c r="G106" s="101"/>
      <c r="H106" s="107"/>
      <c r="I106" s="107"/>
      <c r="J106" s="101"/>
      <c r="K106" s="107"/>
      <c r="L106" s="107"/>
      <c r="M106" s="101"/>
      <c r="N106" s="101"/>
      <c r="O106" s="101"/>
      <c r="P106" s="101"/>
      <c r="Q106" s="104"/>
      <c r="R106" s="104"/>
      <c r="S106" s="104"/>
      <c r="T106" s="101"/>
      <c r="U106" s="101"/>
      <c r="V106" s="101"/>
      <c r="W106" s="101"/>
      <c r="X106" s="101"/>
      <c r="Y106" s="108"/>
      <c r="Z106" s="101"/>
      <c r="AA106" s="101"/>
      <c r="AB106" s="101"/>
      <c r="AC106" s="101"/>
      <c r="AD106" s="101"/>
      <c r="AE106" s="101"/>
    </row>
    <row r="107">
      <c r="A107" s="101"/>
      <c r="B107" s="101"/>
      <c r="C107" s="104"/>
      <c r="D107" s="105"/>
      <c r="E107" s="106"/>
      <c r="F107" s="101"/>
      <c r="G107" s="101"/>
      <c r="H107" s="107"/>
      <c r="I107" s="107"/>
      <c r="J107" s="101"/>
      <c r="K107" s="107"/>
      <c r="L107" s="107"/>
      <c r="M107" s="101"/>
      <c r="N107" s="101"/>
      <c r="O107" s="101"/>
      <c r="P107" s="101"/>
      <c r="Q107" s="104"/>
      <c r="R107" s="104"/>
      <c r="S107" s="104"/>
      <c r="T107" s="101"/>
      <c r="U107" s="101"/>
      <c r="V107" s="101"/>
      <c r="W107" s="101"/>
      <c r="X107" s="101"/>
      <c r="Y107" s="108"/>
      <c r="Z107" s="101"/>
      <c r="AA107" s="101"/>
      <c r="AB107" s="101"/>
      <c r="AC107" s="101"/>
      <c r="AD107" s="101"/>
      <c r="AE107" s="101"/>
    </row>
    <row r="108">
      <c r="A108" s="101"/>
      <c r="B108" s="101"/>
      <c r="C108" s="104"/>
      <c r="D108" s="105"/>
      <c r="E108" s="106"/>
      <c r="F108" s="101"/>
      <c r="G108" s="101"/>
      <c r="H108" s="107"/>
      <c r="I108" s="107"/>
      <c r="J108" s="101"/>
      <c r="K108" s="107"/>
      <c r="L108" s="107"/>
      <c r="M108" s="101"/>
      <c r="N108" s="101"/>
      <c r="O108" s="101"/>
      <c r="P108" s="101"/>
      <c r="Q108" s="104"/>
      <c r="R108" s="104"/>
      <c r="S108" s="104"/>
      <c r="T108" s="101"/>
      <c r="U108" s="101"/>
      <c r="V108" s="101"/>
      <c r="W108" s="101"/>
      <c r="X108" s="101"/>
      <c r="Y108" s="108"/>
      <c r="Z108" s="101"/>
      <c r="AA108" s="101"/>
      <c r="AB108" s="101"/>
      <c r="AC108" s="101"/>
      <c r="AD108" s="101"/>
      <c r="AE108" s="101"/>
    </row>
    <row r="109">
      <c r="A109" s="101"/>
      <c r="B109" s="101"/>
      <c r="C109" s="104"/>
      <c r="D109" s="105"/>
      <c r="E109" s="106"/>
      <c r="F109" s="101"/>
      <c r="G109" s="101"/>
      <c r="H109" s="107"/>
      <c r="I109" s="107"/>
      <c r="J109" s="101"/>
      <c r="K109" s="107"/>
      <c r="L109" s="107"/>
      <c r="M109" s="101"/>
      <c r="N109" s="101"/>
      <c r="O109" s="101"/>
      <c r="P109" s="101"/>
      <c r="Q109" s="104"/>
      <c r="R109" s="104"/>
      <c r="S109" s="104"/>
      <c r="T109" s="101"/>
      <c r="U109" s="101"/>
      <c r="V109" s="101"/>
      <c r="W109" s="101"/>
      <c r="X109" s="101"/>
      <c r="Y109" s="108"/>
      <c r="Z109" s="101"/>
      <c r="AA109" s="101"/>
      <c r="AB109" s="101"/>
      <c r="AC109" s="101"/>
      <c r="AD109" s="101"/>
      <c r="AE109" s="101"/>
    </row>
    <row r="110">
      <c r="A110" s="101"/>
      <c r="B110" s="101"/>
      <c r="C110" s="104"/>
      <c r="D110" s="105"/>
      <c r="E110" s="106"/>
      <c r="F110" s="101"/>
      <c r="G110" s="101"/>
      <c r="H110" s="107"/>
      <c r="I110" s="107"/>
      <c r="J110" s="101"/>
      <c r="K110" s="107"/>
      <c r="L110" s="107"/>
      <c r="M110" s="101"/>
      <c r="N110" s="101"/>
      <c r="O110" s="101"/>
      <c r="P110" s="101"/>
      <c r="Q110" s="104"/>
      <c r="R110" s="104"/>
      <c r="S110" s="104"/>
      <c r="T110" s="101"/>
      <c r="U110" s="101"/>
      <c r="V110" s="101"/>
      <c r="W110" s="101"/>
      <c r="X110" s="101"/>
      <c r="Y110" s="108"/>
      <c r="Z110" s="101"/>
      <c r="AA110" s="101"/>
      <c r="AB110" s="101"/>
      <c r="AC110" s="101"/>
      <c r="AD110" s="101"/>
      <c r="AE110" s="101"/>
    </row>
    <row r="111">
      <c r="A111" s="101"/>
      <c r="B111" s="101"/>
      <c r="C111" s="104"/>
      <c r="D111" s="105"/>
      <c r="E111" s="106"/>
      <c r="F111" s="101"/>
      <c r="G111" s="101"/>
      <c r="H111" s="107"/>
      <c r="I111" s="107"/>
      <c r="J111" s="101"/>
      <c r="K111" s="107"/>
      <c r="L111" s="107"/>
      <c r="M111" s="101"/>
      <c r="N111" s="101"/>
      <c r="O111" s="101"/>
      <c r="P111" s="101"/>
      <c r="Q111" s="104"/>
      <c r="R111" s="104"/>
      <c r="S111" s="104"/>
      <c r="T111" s="101"/>
      <c r="U111" s="101"/>
      <c r="V111" s="101"/>
      <c r="W111" s="101"/>
      <c r="X111" s="101"/>
      <c r="Y111" s="108"/>
      <c r="Z111" s="101"/>
      <c r="AA111" s="101"/>
      <c r="AB111" s="101"/>
      <c r="AC111" s="101"/>
      <c r="AD111" s="101"/>
      <c r="AE111" s="101"/>
    </row>
    <row r="112">
      <c r="A112" s="101"/>
      <c r="B112" s="101"/>
      <c r="C112" s="104"/>
      <c r="D112" s="105"/>
      <c r="E112" s="106"/>
      <c r="F112" s="101"/>
      <c r="G112" s="101"/>
      <c r="H112" s="107"/>
      <c r="I112" s="107"/>
      <c r="J112" s="101"/>
      <c r="K112" s="107"/>
      <c r="L112" s="107"/>
      <c r="M112" s="101"/>
      <c r="N112" s="101"/>
      <c r="O112" s="101"/>
      <c r="P112" s="101"/>
      <c r="Q112" s="104"/>
      <c r="R112" s="104"/>
      <c r="S112" s="104"/>
      <c r="T112" s="101"/>
      <c r="U112" s="101"/>
      <c r="V112" s="101"/>
      <c r="W112" s="101"/>
      <c r="X112" s="101"/>
      <c r="Y112" s="108"/>
      <c r="Z112" s="101"/>
      <c r="AA112" s="101"/>
      <c r="AB112" s="101"/>
      <c r="AC112" s="101"/>
      <c r="AD112" s="101"/>
      <c r="AE112" s="101"/>
    </row>
    <row r="113">
      <c r="A113" s="101"/>
      <c r="B113" s="101"/>
      <c r="C113" s="104"/>
      <c r="D113" s="105"/>
      <c r="E113" s="106"/>
      <c r="F113" s="101"/>
      <c r="G113" s="101"/>
      <c r="H113" s="107"/>
      <c r="I113" s="107"/>
      <c r="J113" s="101"/>
      <c r="K113" s="107"/>
      <c r="L113" s="107"/>
      <c r="M113" s="101"/>
      <c r="N113" s="101"/>
      <c r="O113" s="101"/>
      <c r="P113" s="101"/>
      <c r="Q113" s="104"/>
      <c r="R113" s="104"/>
      <c r="S113" s="104"/>
      <c r="T113" s="101"/>
      <c r="U113" s="101"/>
      <c r="V113" s="101"/>
      <c r="W113" s="101"/>
      <c r="X113" s="101"/>
      <c r="Y113" s="108"/>
      <c r="Z113" s="101"/>
      <c r="AA113" s="101"/>
      <c r="AB113" s="101"/>
      <c r="AC113" s="101"/>
      <c r="AD113" s="101"/>
      <c r="AE113" s="101"/>
    </row>
    <row r="114">
      <c r="A114" s="101"/>
      <c r="B114" s="101"/>
      <c r="C114" s="104"/>
      <c r="D114" s="105"/>
      <c r="E114" s="106"/>
      <c r="F114" s="101"/>
      <c r="G114" s="101"/>
      <c r="H114" s="107"/>
      <c r="I114" s="107"/>
      <c r="J114" s="101"/>
      <c r="K114" s="107"/>
      <c r="L114" s="107"/>
      <c r="M114" s="101"/>
      <c r="N114" s="101"/>
      <c r="O114" s="101"/>
      <c r="P114" s="101"/>
      <c r="Q114" s="104"/>
      <c r="R114" s="104"/>
      <c r="S114" s="104"/>
      <c r="T114" s="101"/>
      <c r="U114" s="101"/>
      <c r="V114" s="101"/>
      <c r="W114" s="101"/>
      <c r="X114" s="101"/>
      <c r="Y114" s="108"/>
      <c r="Z114" s="101"/>
      <c r="AA114" s="101"/>
      <c r="AB114" s="101"/>
      <c r="AC114" s="101"/>
      <c r="AD114" s="101"/>
      <c r="AE114" s="101"/>
    </row>
    <row r="115">
      <c r="A115" s="101"/>
      <c r="B115" s="101"/>
      <c r="C115" s="104"/>
      <c r="D115" s="105"/>
      <c r="E115" s="106"/>
      <c r="F115" s="101"/>
      <c r="G115" s="101"/>
      <c r="H115" s="107"/>
      <c r="I115" s="107"/>
      <c r="J115" s="101"/>
      <c r="K115" s="107"/>
      <c r="L115" s="107"/>
      <c r="M115" s="101"/>
      <c r="N115" s="101"/>
      <c r="O115" s="101"/>
      <c r="P115" s="101"/>
      <c r="Q115" s="104"/>
      <c r="R115" s="104"/>
      <c r="S115" s="104"/>
      <c r="T115" s="101"/>
      <c r="U115" s="101"/>
      <c r="V115" s="101"/>
      <c r="W115" s="101"/>
      <c r="X115" s="101"/>
      <c r="Y115" s="108"/>
      <c r="Z115" s="101"/>
      <c r="AA115" s="101"/>
      <c r="AB115" s="101"/>
      <c r="AC115" s="101"/>
      <c r="AD115" s="101"/>
      <c r="AE115" s="101"/>
    </row>
    <row r="116">
      <c r="A116" s="101"/>
      <c r="B116" s="101"/>
      <c r="C116" s="104"/>
      <c r="D116" s="105"/>
      <c r="E116" s="106"/>
      <c r="F116" s="101"/>
      <c r="G116" s="101"/>
      <c r="H116" s="107"/>
      <c r="I116" s="107"/>
      <c r="J116" s="101"/>
      <c r="K116" s="107"/>
      <c r="L116" s="107"/>
      <c r="M116" s="101"/>
      <c r="N116" s="101"/>
      <c r="O116" s="101"/>
      <c r="P116" s="101"/>
      <c r="Q116" s="104"/>
      <c r="R116" s="104"/>
      <c r="S116" s="104"/>
      <c r="T116" s="101"/>
      <c r="U116" s="101"/>
      <c r="V116" s="101"/>
      <c r="W116" s="101"/>
      <c r="X116" s="101"/>
      <c r="Y116" s="108"/>
      <c r="Z116" s="101"/>
      <c r="AA116" s="101"/>
      <c r="AB116" s="101"/>
      <c r="AC116" s="101"/>
      <c r="AD116" s="101"/>
      <c r="AE116" s="101"/>
    </row>
    <row r="117">
      <c r="A117" s="101"/>
      <c r="B117" s="101"/>
      <c r="C117" s="104"/>
      <c r="D117" s="105"/>
      <c r="E117" s="106"/>
      <c r="F117" s="101"/>
      <c r="G117" s="101"/>
      <c r="H117" s="107"/>
      <c r="I117" s="107"/>
      <c r="J117" s="101"/>
      <c r="K117" s="107"/>
      <c r="L117" s="107"/>
      <c r="M117" s="101"/>
      <c r="N117" s="101"/>
      <c r="O117" s="101"/>
      <c r="P117" s="101"/>
      <c r="Q117" s="104"/>
      <c r="R117" s="104"/>
      <c r="S117" s="104"/>
      <c r="T117" s="101"/>
      <c r="U117" s="101"/>
      <c r="V117" s="101"/>
      <c r="W117" s="101"/>
      <c r="X117" s="101"/>
      <c r="Y117" s="108"/>
      <c r="Z117" s="101"/>
      <c r="AA117" s="101"/>
      <c r="AB117" s="101"/>
      <c r="AC117" s="101"/>
      <c r="AD117" s="101"/>
      <c r="AE117" s="101"/>
    </row>
    <row r="118">
      <c r="A118" s="101"/>
      <c r="B118" s="101"/>
      <c r="C118" s="104"/>
      <c r="D118" s="105"/>
      <c r="E118" s="106"/>
      <c r="F118" s="101"/>
      <c r="G118" s="101"/>
      <c r="H118" s="107"/>
      <c r="I118" s="107"/>
      <c r="J118" s="101"/>
      <c r="K118" s="107"/>
      <c r="L118" s="107"/>
      <c r="M118" s="101"/>
      <c r="N118" s="101"/>
      <c r="O118" s="101"/>
      <c r="P118" s="101"/>
      <c r="Q118" s="104"/>
      <c r="R118" s="104"/>
      <c r="S118" s="104"/>
      <c r="T118" s="101"/>
      <c r="U118" s="101"/>
      <c r="V118" s="101"/>
      <c r="W118" s="101"/>
      <c r="X118" s="101"/>
      <c r="Y118" s="108"/>
      <c r="Z118" s="101"/>
      <c r="AA118" s="101"/>
      <c r="AB118" s="101"/>
      <c r="AC118" s="101"/>
      <c r="AD118" s="101"/>
      <c r="AE118" s="101"/>
    </row>
    <row r="119">
      <c r="A119" s="101"/>
      <c r="B119" s="101"/>
      <c r="C119" s="104"/>
      <c r="D119" s="105"/>
      <c r="E119" s="106"/>
      <c r="F119" s="101"/>
      <c r="G119" s="101"/>
      <c r="H119" s="107"/>
      <c r="I119" s="107"/>
      <c r="J119" s="101"/>
      <c r="K119" s="107"/>
      <c r="L119" s="107"/>
      <c r="M119" s="101"/>
      <c r="N119" s="101"/>
      <c r="O119" s="101"/>
      <c r="P119" s="101"/>
      <c r="Q119" s="104"/>
      <c r="R119" s="104"/>
      <c r="S119" s="104"/>
      <c r="T119" s="101"/>
      <c r="U119" s="101"/>
      <c r="V119" s="101"/>
      <c r="W119" s="101"/>
      <c r="X119" s="101"/>
      <c r="Y119" s="108"/>
      <c r="Z119" s="101"/>
      <c r="AA119" s="101"/>
      <c r="AB119" s="101"/>
      <c r="AC119" s="101"/>
      <c r="AD119" s="101"/>
      <c r="AE119" s="101"/>
    </row>
    <row r="120">
      <c r="A120" s="101"/>
      <c r="B120" s="101"/>
      <c r="C120" s="104"/>
      <c r="D120" s="105"/>
      <c r="E120" s="106"/>
      <c r="F120" s="101"/>
      <c r="G120" s="101"/>
      <c r="H120" s="107"/>
      <c r="I120" s="107"/>
      <c r="J120" s="101"/>
      <c r="K120" s="107"/>
      <c r="L120" s="107"/>
      <c r="M120" s="101"/>
      <c r="N120" s="101"/>
      <c r="O120" s="101"/>
      <c r="P120" s="101"/>
      <c r="Q120" s="104"/>
      <c r="R120" s="104"/>
      <c r="S120" s="104"/>
      <c r="T120" s="101"/>
      <c r="U120" s="101"/>
      <c r="V120" s="101"/>
      <c r="W120" s="101"/>
      <c r="X120" s="101"/>
      <c r="Y120" s="108"/>
      <c r="Z120" s="101"/>
      <c r="AA120" s="101"/>
      <c r="AB120" s="101"/>
      <c r="AC120" s="101"/>
      <c r="AD120" s="101"/>
      <c r="AE120" s="101"/>
    </row>
    <row r="121">
      <c r="A121" s="101"/>
      <c r="B121" s="101"/>
      <c r="C121" s="104"/>
      <c r="D121" s="105"/>
      <c r="E121" s="106"/>
      <c r="F121" s="101"/>
      <c r="G121" s="101"/>
      <c r="H121" s="107"/>
      <c r="I121" s="107"/>
      <c r="J121" s="101"/>
      <c r="K121" s="107"/>
      <c r="L121" s="107"/>
      <c r="M121" s="101"/>
      <c r="N121" s="101"/>
      <c r="O121" s="101"/>
      <c r="P121" s="101"/>
      <c r="Q121" s="104"/>
      <c r="R121" s="104"/>
      <c r="S121" s="104"/>
      <c r="T121" s="101"/>
      <c r="U121" s="101"/>
      <c r="V121" s="101"/>
      <c r="W121" s="101"/>
      <c r="X121" s="101"/>
      <c r="Y121" s="108"/>
      <c r="Z121" s="101"/>
      <c r="AA121" s="101"/>
      <c r="AB121" s="101"/>
      <c r="AC121" s="101"/>
      <c r="AD121" s="101"/>
      <c r="AE121" s="101"/>
    </row>
    <row r="122">
      <c r="A122" s="101"/>
      <c r="B122" s="101"/>
      <c r="C122" s="104"/>
      <c r="D122" s="105"/>
      <c r="E122" s="106"/>
      <c r="F122" s="101"/>
      <c r="G122" s="101"/>
      <c r="H122" s="107"/>
      <c r="I122" s="107"/>
      <c r="J122" s="101"/>
      <c r="K122" s="107"/>
      <c r="L122" s="107"/>
      <c r="M122" s="101"/>
      <c r="N122" s="101"/>
      <c r="O122" s="101"/>
      <c r="P122" s="101"/>
      <c r="Q122" s="104"/>
      <c r="R122" s="104"/>
      <c r="S122" s="104"/>
      <c r="T122" s="101"/>
      <c r="U122" s="101"/>
      <c r="V122" s="101"/>
      <c r="W122" s="101"/>
      <c r="X122" s="101"/>
      <c r="Y122" s="108"/>
      <c r="Z122" s="101"/>
      <c r="AA122" s="101"/>
      <c r="AB122" s="101"/>
      <c r="AC122" s="101"/>
      <c r="AD122" s="101"/>
      <c r="AE122" s="101"/>
    </row>
    <row r="123">
      <c r="A123" s="101"/>
      <c r="B123" s="101"/>
      <c r="C123" s="104"/>
      <c r="D123" s="105"/>
      <c r="E123" s="106"/>
      <c r="F123" s="101"/>
      <c r="G123" s="101"/>
      <c r="H123" s="107"/>
      <c r="I123" s="107"/>
      <c r="J123" s="101"/>
      <c r="K123" s="107"/>
      <c r="L123" s="107"/>
      <c r="M123" s="101"/>
      <c r="N123" s="101"/>
      <c r="O123" s="101"/>
      <c r="P123" s="101"/>
      <c r="Q123" s="104"/>
      <c r="R123" s="104"/>
      <c r="S123" s="104"/>
      <c r="T123" s="101"/>
      <c r="U123" s="101"/>
      <c r="V123" s="101"/>
      <c r="W123" s="101"/>
      <c r="X123" s="101"/>
      <c r="Y123" s="108"/>
      <c r="Z123" s="101"/>
      <c r="AA123" s="101"/>
      <c r="AB123" s="101"/>
      <c r="AC123" s="101"/>
      <c r="AD123" s="101"/>
      <c r="AE123" s="101"/>
    </row>
    <row r="124">
      <c r="A124" s="101"/>
      <c r="B124" s="101"/>
      <c r="C124" s="104"/>
      <c r="D124" s="105"/>
      <c r="E124" s="106"/>
      <c r="F124" s="101"/>
      <c r="G124" s="101"/>
      <c r="H124" s="107"/>
      <c r="I124" s="107"/>
      <c r="J124" s="101"/>
      <c r="K124" s="107"/>
      <c r="L124" s="107"/>
      <c r="M124" s="101"/>
      <c r="N124" s="101"/>
      <c r="O124" s="101"/>
      <c r="P124" s="101"/>
      <c r="Q124" s="104"/>
      <c r="R124" s="104"/>
      <c r="S124" s="104"/>
      <c r="T124" s="101"/>
      <c r="U124" s="101"/>
      <c r="V124" s="101"/>
      <c r="W124" s="101"/>
      <c r="X124" s="101"/>
      <c r="Y124" s="108"/>
      <c r="Z124" s="101"/>
      <c r="AA124" s="101"/>
      <c r="AB124" s="101"/>
      <c r="AC124" s="101"/>
      <c r="AD124" s="101"/>
      <c r="AE124" s="101"/>
    </row>
    <row r="125">
      <c r="A125" s="101"/>
      <c r="B125" s="101"/>
      <c r="C125" s="104"/>
      <c r="D125" s="105"/>
      <c r="E125" s="106"/>
      <c r="F125" s="101"/>
      <c r="G125" s="101"/>
      <c r="H125" s="107"/>
      <c r="I125" s="107"/>
      <c r="J125" s="101"/>
      <c r="K125" s="107"/>
      <c r="L125" s="107"/>
      <c r="M125" s="101"/>
      <c r="N125" s="101"/>
      <c r="O125" s="101"/>
      <c r="P125" s="101"/>
      <c r="Q125" s="104"/>
      <c r="R125" s="104"/>
      <c r="S125" s="104"/>
      <c r="T125" s="101"/>
      <c r="U125" s="101"/>
      <c r="V125" s="101"/>
      <c r="W125" s="101"/>
      <c r="X125" s="101"/>
      <c r="Y125" s="108"/>
      <c r="Z125" s="101"/>
      <c r="AA125" s="101"/>
      <c r="AB125" s="101"/>
      <c r="AC125" s="101"/>
      <c r="AD125" s="101"/>
      <c r="AE125" s="101"/>
    </row>
    <row r="126">
      <c r="A126" s="101"/>
      <c r="B126" s="101"/>
      <c r="C126" s="104"/>
      <c r="D126" s="105"/>
      <c r="E126" s="106"/>
      <c r="F126" s="101"/>
      <c r="G126" s="101"/>
      <c r="H126" s="107"/>
      <c r="I126" s="107"/>
      <c r="J126" s="101"/>
      <c r="K126" s="107"/>
      <c r="L126" s="107"/>
      <c r="M126" s="101"/>
      <c r="N126" s="101"/>
      <c r="O126" s="101"/>
      <c r="P126" s="101"/>
      <c r="Q126" s="104"/>
      <c r="R126" s="104"/>
      <c r="S126" s="104"/>
      <c r="T126" s="101"/>
      <c r="U126" s="101"/>
      <c r="V126" s="101"/>
      <c r="W126" s="101"/>
      <c r="X126" s="101"/>
      <c r="Y126" s="108"/>
      <c r="Z126" s="101"/>
      <c r="AA126" s="101"/>
      <c r="AB126" s="101"/>
      <c r="AC126" s="101"/>
      <c r="AD126" s="101"/>
      <c r="AE126" s="101"/>
    </row>
    <row r="127">
      <c r="A127" s="101"/>
      <c r="B127" s="101"/>
      <c r="C127" s="104"/>
      <c r="D127" s="105"/>
      <c r="E127" s="106"/>
      <c r="F127" s="101"/>
      <c r="G127" s="101"/>
      <c r="H127" s="107"/>
      <c r="I127" s="107"/>
      <c r="J127" s="101"/>
      <c r="K127" s="107"/>
      <c r="L127" s="107"/>
      <c r="M127" s="101"/>
      <c r="N127" s="101"/>
      <c r="O127" s="101"/>
      <c r="P127" s="101"/>
      <c r="Q127" s="104"/>
      <c r="R127" s="104"/>
      <c r="S127" s="104"/>
      <c r="T127" s="101"/>
      <c r="U127" s="101"/>
      <c r="V127" s="101"/>
      <c r="W127" s="101"/>
      <c r="X127" s="101"/>
      <c r="Y127" s="108"/>
      <c r="Z127" s="101"/>
      <c r="AA127" s="101"/>
      <c r="AB127" s="101"/>
      <c r="AC127" s="101"/>
      <c r="AD127" s="101"/>
      <c r="AE127" s="101"/>
    </row>
    <row r="128">
      <c r="A128" s="101"/>
      <c r="B128" s="101"/>
      <c r="C128" s="104"/>
      <c r="D128" s="105"/>
      <c r="E128" s="106"/>
      <c r="F128" s="101"/>
      <c r="G128" s="101"/>
      <c r="H128" s="107"/>
      <c r="I128" s="107"/>
      <c r="J128" s="101"/>
      <c r="K128" s="107"/>
      <c r="L128" s="107"/>
      <c r="M128" s="101"/>
      <c r="N128" s="101"/>
      <c r="O128" s="101"/>
      <c r="P128" s="101"/>
      <c r="Q128" s="104"/>
      <c r="R128" s="104"/>
      <c r="S128" s="104"/>
      <c r="T128" s="101"/>
      <c r="U128" s="101"/>
      <c r="V128" s="101"/>
      <c r="W128" s="101"/>
      <c r="X128" s="101"/>
      <c r="Y128" s="108"/>
      <c r="Z128" s="101"/>
      <c r="AA128" s="101"/>
      <c r="AB128" s="101"/>
      <c r="AC128" s="101"/>
      <c r="AD128" s="101"/>
      <c r="AE128" s="101"/>
    </row>
    <row r="129">
      <c r="A129" s="101"/>
      <c r="B129" s="101"/>
      <c r="C129" s="104"/>
      <c r="D129" s="105"/>
      <c r="E129" s="106"/>
      <c r="F129" s="101"/>
      <c r="G129" s="101"/>
      <c r="H129" s="107"/>
      <c r="I129" s="107"/>
      <c r="J129" s="101"/>
      <c r="K129" s="107"/>
      <c r="L129" s="107"/>
      <c r="M129" s="101"/>
      <c r="N129" s="101"/>
      <c r="O129" s="101"/>
      <c r="P129" s="101"/>
      <c r="Q129" s="104"/>
      <c r="R129" s="104"/>
      <c r="S129" s="104"/>
      <c r="T129" s="101"/>
      <c r="U129" s="101"/>
      <c r="V129" s="101"/>
      <c r="W129" s="101"/>
      <c r="X129" s="101"/>
      <c r="Y129" s="108"/>
      <c r="Z129" s="101"/>
      <c r="AA129" s="101"/>
      <c r="AB129" s="101"/>
      <c r="AC129" s="101"/>
      <c r="AD129" s="101"/>
      <c r="AE129" s="101"/>
    </row>
    <row r="130">
      <c r="A130" s="101"/>
      <c r="B130" s="101"/>
      <c r="C130" s="104"/>
      <c r="D130" s="105"/>
      <c r="E130" s="106"/>
      <c r="F130" s="101"/>
      <c r="G130" s="101"/>
      <c r="H130" s="107"/>
      <c r="I130" s="107"/>
      <c r="J130" s="101"/>
      <c r="K130" s="107"/>
      <c r="L130" s="107"/>
      <c r="M130" s="101"/>
      <c r="N130" s="101"/>
      <c r="O130" s="101"/>
      <c r="P130" s="101"/>
      <c r="Q130" s="104"/>
      <c r="R130" s="104"/>
      <c r="S130" s="104"/>
      <c r="T130" s="101"/>
      <c r="U130" s="101"/>
      <c r="V130" s="101"/>
      <c r="W130" s="101"/>
      <c r="X130" s="101"/>
      <c r="Y130" s="108"/>
      <c r="Z130" s="101"/>
      <c r="AA130" s="101"/>
      <c r="AB130" s="101"/>
      <c r="AC130" s="101"/>
      <c r="AD130" s="101"/>
      <c r="AE130" s="101"/>
    </row>
    <row r="131">
      <c r="A131" s="101"/>
      <c r="B131" s="101"/>
      <c r="C131" s="104"/>
      <c r="D131" s="105"/>
      <c r="E131" s="106"/>
      <c r="F131" s="101"/>
      <c r="G131" s="101"/>
      <c r="H131" s="107"/>
      <c r="I131" s="107"/>
      <c r="J131" s="101"/>
      <c r="K131" s="107"/>
      <c r="L131" s="107"/>
      <c r="M131" s="101"/>
      <c r="N131" s="101"/>
      <c r="O131" s="101"/>
      <c r="P131" s="101"/>
      <c r="Q131" s="104"/>
      <c r="R131" s="104"/>
      <c r="S131" s="104"/>
      <c r="T131" s="101"/>
      <c r="U131" s="101"/>
      <c r="V131" s="101"/>
      <c r="W131" s="101"/>
      <c r="X131" s="101"/>
      <c r="Y131" s="108"/>
      <c r="Z131" s="101"/>
      <c r="AA131" s="101"/>
      <c r="AB131" s="101"/>
      <c r="AC131" s="101"/>
      <c r="AD131" s="101"/>
      <c r="AE131" s="101"/>
    </row>
    <row r="132">
      <c r="A132" s="101"/>
      <c r="B132" s="101"/>
      <c r="C132" s="104"/>
      <c r="D132" s="105"/>
      <c r="E132" s="106"/>
      <c r="F132" s="101"/>
      <c r="G132" s="101"/>
      <c r="H132" s="107"/>
      <c r="I132" s="107"/>
      <c r="J132" s="101"/>
      <c r="K132" s="107"/>
      <c r="L132" s="107"/>
      <c r="M132" s="101"/>
      <c r="N132" s="101"/>
      <c r="O132" s="101"/>
      <c r="P132" s="101"/>
      <c r="Q132" s="104"/>
      <c r="R132" s="104"/>
      <c r="S132" s="104"/>
      <c r="T132" s="101"/>
      <c r="U132" s="101"/>
      <c r="V132" s="101"/>
      <c r="W132" s="101"/>
      <c r="X132" s="101"/>
      <c r="Y132" s="108"/>
      <c r="Z132" s="101"/>
      <c r="AA132" s="101"/>
      <c r="AB132" s="101"/>
      <c r="AC132" s="101"/>
      <c r="AD132" s="101"/>
      <c r="AE132" s="101"/>
    </row>
    <row r="133">
      <c r="A133" s="101"/>
      <c r="B133" s="101"/>
      <c r="C133" s="104"/>
      <c r="D133" s="105"/>
      <c r="E133" s="106"/>
      <c r="F133" s="101"/>
      <c r="G133" s="101"/>
      <c r="H133" s="107"/>
      <c r="I133" s="107"/>
      <c r="J133" s="101"/>
      <c r="K133" s="107"/>
      <c r="L133" s="107"/>
      <c r="M133" s="101"/>
      <c r="N133" s="101"/>
      <c r="O133" s="101"/>
      <c r="P133" s="101"/>
      <c r="Q133" s="104"/>
      <c r="R133" s="104"/>
      <c r="S133" s="104"/>
      <c r="T133" s="101"/>
      <c r="U133" s="101"/>
      <c r="V133" s="101"/>
      <c r="W133" s="101"/>
      <c r="X133" s="101"/>
      <c r="Y133" s="108"/>
      <c r="Z133" s="101"/>
      <c r="AA133" s="101"/>
      <c r="AB133" s="101"/>
      <c r="AC133" s="101"/>
      <c r="AD133" s="101"/>
      <c r="AE133" s="101"/>
    </row>
    <row r="134">
      <c r="A134" s="101"/>
      <c r="B134" s="101"/>
      <c r="C134" s="104"/>
      <c r="D134" s="105"/>
      <c r="E134" s="106"/>
      <c r="F134" s="101"/>
      <c r="G134" s="101"/>
      <c r="H134" s="107"/>
      <c r="I134" s="107"/>
      <c r="J134" s="101"/>
      <c r="K134" s="107"/>
      <c r="L134" s="107"/>
      <c r="M134" s="101"/>
      <c r="N134" s="101"/>
      <c r="O134" s="101"/>
      <c r="P134" s="101"/>
      <c r="Q134" s="104"/>
      <c r="R134" s="104"/>
      <c r="S134" s="104"/>
      <c r="T134" s="101"/>
      <c r="U134" s="101"/>
      <c r="V134" s="101"/>
      <c r="W134" s="101"/>
      <c r="X134" s="101"/>
      <c r="Y134" s="108"/>
      <c r="Z134" s="101"/>
      <c r="AA134" s="101"/>
      <c r="AB134" s="101"/>
      <c r="AC134" s="101"/>
      <c r="AD134" s="101"/>
      <c r="AE134" s="101"/>
    </row>
    <row r="135">
      <c r="A135" s="101"/>
      <c r="B135" s="101"/>
      <c r="C135" s="104"/>
      <c r="D135" s="105"/>
      <c r="E135" s="106"/>
      <c r="F135" s="101"/>
      <c r="G135" s="101"/>
      <c r="H135" s="107"/>
      <c r="I135" s="107"/>
      <c r="J135" s="101"/>
      <c r="K135" s="107"/>
      <c r="L135" s="107"/>
      <c r="M135" s="101"/>
      <c r="N135" s="101"/>
      <c r="O135" s="101"/>
      <c r="P135" s="101"/>
      <c r="Q135" s="104"/>
      <c r="R135" s="104"/>
      <c r="S135" s="104"/>
      <c r="T135" s="101"/>
      <c r="U135" s="101"/>
      <c r="V135" s="101"/>
      <c r="W135" s="101"/>
      <c r="X135" s="101"/>
      <c r="Y135" s="108"/>
      <c r="Z135" s="101"/>
      <c r="AA135" s="101"/>
      <c r="AB135" s="101"/>
      <c r="AC135" s="101"/>
      <c r="AD135" s="101"/>
      <c r="AE135" s="101"/>
    </row>
    <row r="136">
      <c r="A136" s="101"/>
      <c r="B136" s="101"/>
      <c r="C136" s="104"/>
      <c r="D136" s="105"/>
      <c r="E136" s="106"/>
      <c r="F136" s="101"/>
      <c r="G136" s="101"/>
      <c r="H136" s="107"/>
      <c r="I136" s="107"/>
      <c r="J136" s="101"/>
      <c r="K136" s="107"/>
      <c r="L136" s="107"/>
      <c r="M136" s="101"/>
      <c r="N136" s="101"/>
      <c r="O136" s="101"/>
      <c r="P136" s="101"/>
      <c r="Q136" s="104"/>
      <c r="R136" s="104"/>
      <c r="S136" s="104"/>
      <c r="T136" s="101"/>
      <c r="U136" s="101"/>
      <c r="V136" s="101"/>
      <c r="W136" s="101"/>
      <c r="X136" s="101"/>
      <c r="Y136" s="108"/>
      <c r="Z136" s="101"/>
      <c r="AA136" s="101"/>
      <c r="AB136" s="101"/>
      <c r="AC136" s="101"/>
      <c r="AD136" s="101"/>
      <c r="AE136" s="101"/>
    </row>
    <row r="137">
      <c r="A137" s="101"/>
      <c r="B137" s="101"/>
      <c r="C137" s="104"/>
      <c r="D137" s="105"/>
      <c r="E137" s="106"/>
      <c r="F137" s="101"/>
      <c r="G137" s="101"/>
      <c r="H137" s="107"/>
      <c r="I137" s="107"/>
      <c r="J137" s="101"/>
      <c r="K137" s="107"/>
      <c r="L137" s="107"/>
      <c r="M137" s="101"/>
      <c r="N137" s="101"/>
      <c r="O137" s="101"/>
      <c r="P137" s="101"/>
      <c r="Q137" s="104"/>
      <c r="R137" s="104"/>
      <c r="S137" s="104"/>
      <c r="T137" s="101"/>
      <c r="U137" s="101"/>
      <c r="V137" s="101"/>
      <c r="W137" s="101"/>
      <c r="X137" s="101"/>
      <c r="Y137" s="108"/>
      <c r="Z137" s="101"/>
      <c r="AA137" s="101"/>
      <c r="AB137" s="101"/>
      <c r="AC137" s="101"/>
      <c r="AD137" s="101"/>
      <c r="AE137" s="101"/>
    </row>
    <row r="138">
      <c r="A138" s="101"/>
      <c r="B138" s="101"/>
      <c r="C138" s="104"/>
      <c r="D138" s="105"/>
      <c r="E138" s="106"/>
      <c r="F138" s="101"/>
      <c r="G138" s="101"/>
      <c r="H138" s="107"/>
      <c r="I138" s="107"/>
      <c r="J138" s="101"/>
      <c r="K138" s="107"/>
      <c r="L138" s="107"/>
      <c r="M138" s="101"/>
      <c r="N138" s="101"/>
      <c r="O138" s="101"/>
      <c r="P138" s="101"/>
      <c r="Q138" s="104"/>
      <c r="R138" s="104"/>
      <c r="S138" s="104"/>
      <c r="T138" s="101"/>
      <c r="U138" s="101"/>
      <c r="V138" s="101"/>
      <c r="W138" s="101"/>
      <c r="X138" s="101"/>
      <c r="Y138" s="108"/>
      <c r="Z138" s="101"/>
      <c r="AA138" s="101"/>
      <c r="AB138" s="101"/>
      <c r="AC138" s="101"/>
      <c r="AD138" s="101"/>
      <c r="AE138" s="101"/>
    </row>
    <row r="139">
      <c r="A139" s="101"/>
      <c r="B139" s="101"/>
      <c r="C139" s="104"/>
      <c r="D139" s="105"/>
      <c r="E139" s="106"/>
      <c r="F139" s="101"/>
      <c r="G139" s="101"/>
      <c r="H139" s="107"/>
      <c r="I139" s="107"/>
      <c r="J139" s="101"/>
      <c r="K139" s="107"/>
      <c r="L139" s="107"/>
      <c r="M139" s="101"/>
      <c r="N139" s="101"/>
      <c r="O139" s="101"/>
      <c r="P139" s="101"/>
      <c r="Q139" s="104"/>
      <c r="R139" s="104"/>
      <c r="S139" s="104"/>
      <c r="T139" s="101"/>
      <c r="U139" s="101"/>
      <c r="V139" s="101"/>
      <c r="W139" s="101"/>
      <c r="X139" s="101"/>
      <c r="Y139" s="108"/>
      <c r="Z139" s="101"/>
      <c r="AA139" s="101"/>
      <c r="AB139" s="101"/>
      <c r="AC139" s="101"/>
      <c r="AD139" s="101"/>
      <c r="AE139" s="101"/>
    </row>
    <row r="140">
      <c r="A140" s="101"/>
      <c r="B140" s="101"/>
      <c r="C140" s="104"/>
      <c r="D140" s="105"/>
      <c r="E140" s="106"/>
      <c r="F140" s="101"/>
      <c r="G140" s="101"/>
      <c r="H140" s="107"/>
      <c r="I140" s="107"/>
      <c r="J140" s="101"/>
      <c r="K140" s="107"/>
      <c r="L140" s="107"/>
      <c r="M140" s="101"/>
      <c r="N140" s="101"/>
      <c r="O140" s="101"/>
      <c r="P140" s="101"/>
      <c r="Q140" s="104"/>
      <c r="R140" s="104"/>
      <c r="S140" s="104"/>
      <c r="T140" s="101"/>
      <c r="U140" s="101"/>
      <c r="V140" s="101"/>
      <c r="W140" s="101"/>
      <c r="X140" s="101"/>
      <c r="Y140" s="108"/>
      <c r="Z140" s="101"/>
      <c r="AA140" s="101"/>
      <c r="AB140" s="101"/>
      <c r="AC140" s="101"/>
      <c r="AD140" s="101"/>
      <c r="AE140" s="101"/>
    </row>
    <row r="141">
      <c r="A141" s="101"/>
      <c r="B141" s="101"/>
      <c r="C141" s="104"/>
      <c r="D141" s="105"/>
      <c r="E141" s="106"/>
      <c r="F141" s="101"/>
      <c r="G141" s="101"/>
      <c r="H141" s="107"/>
      <c r="I141" s="107"/>
      <c r="J141" s="101"/>
      <c r="K141" s="107"/>
      <c r="L141" s="107"/>
      <c r="M141" s="101"/>
      <c r="N141" s="101"/>
      <c r="O141" s="101"/>
      <c r="P141" s="101"/>
      <c r="Q141" s="104"/>
      <c r="R141" s="104"/>
      <c r="S141" s="104"/>
      <c r="T141" s="101"/>
      <c r="U141" s="101"/>
      <c r="V141" s="101"/>
      <c r="W141" s="101"/>
      <c r="X141" s="101"/>
      <c r="Y141" s="108"/>
      <c r="Z141" s="101"/>
      <c r="AA141" s="101"/>
      <c r="AB141" s="101"/>
      <c r="AC141" s="101"/>
      <c r="AD141" s="101"/>
      <c r="AE141" s="101"/>
    </row>
    <row r="142">
      <c r="A142" s="101"/>
      <c r="B142" s="101"/>
      <c r="C142" s="104"/>
      <c r="D142" s="105"/>
      <c r="E142" s="106"/>
      <c r="F142" s="101"/>
      <c r="G142" s="101"/>
      <c r="H142" s="107"/>
      <c r="I142" s="107"/>
      <c r="J142" s="101"/>
      <c r="K142" s="107"/>
      <c r="L142" s="107"/>
      <c r="M142" s="101"/>
      <c r="N142" s="101"/>
      <c r="O142" s="101"/>
      <c r="P142" s="101"/>
      <c r="Q142" s="104"/>
      <c r="R142" s="104"/>
      <c r="S142" s="104"/>
      <c r="T142" s="101"/>
      <c r="U142" s="101"/>
      <c r="V142" s="101"/>
      <c r="W142" s="101"/>
      <c r="X142" s="101"/>
      <c r="Y142" s="108"/>
      <c r="Z142" s="101"/>
      <c r="AA142" s="101"/>
      <c r="AB142" s="101"/>
      <c r="AC142" s="101"/>
      <c r="AD142" s="101"/>
      <c r="AE142" s="101"/>
    </row>
    <row r="143">
      <c r="A143" s="101"/>
      <c r="B143" s="101"/>
      <c r="C143" s="104"/>
      <c r="D143" s="105"/>
      <c r="E143" s="106"/>
      <c r="F143" s="101"/>
      <c r="G143" s="101"/>
      <c r="H143" s="107"/>
      <c r="I143" s="107"/>
      <c r="J143" s="101"/>
      <c r="K143" s="107"/>
      <c r="L143" s="107"/>
      <c r="M143" s="101"/>
      <c r="N143" s="101"/>
      <c r="O143" s="101"/>
      <c r="P143" s="101"/>
      <c r="Q143" s="104"/>
      <c r="R143" s="104"/>
      <c r="S143" s="104"/>
      <c r="T143" s="101"/>
      <c r="U143" s="101"/>
      <c r="V143" s="101"/>
      <c r="W143" s="101"/>
      <c r="X143" s="101"/>
      <c r="Y143" s="108"/>
      <c r="Z143" s="101"/>
      <c r="AA143" s="101"/>
      <c r="AB143" s="101"/>
      <c r="AC143" s="101"/>
      <c r="AD143" s="101"/>
      <c r="AE143" s="101"/>
    </row>
    <row r="144">
      <c r="A144" s="101"/>
      <c r="B144" s="101"/>
      <c r="C144" s="104"/>
      <c r="D144" s="105"/>
      <c r="E144" s="106"/>
      <c r="F144" s="101"/>
      <c r="G144" s="101"/>
      <c r="H144" s="107"/>
      <c r="I144" s="107"/>
      <c r="J144" s="101"/>
      <c r="K144" s="107"/>
      <c r="L144" s="107"/>
      <c r="M144" s="101"/>
      <c r="N144" s="101"/>
      <c r="O144" s="101"/>
      <c r="P144" s="101"/>
      <c r="Q144" s="104"/>
      <c r="R144" s="104"/>
      <c r="S144" s="104"/>
      <c r="T144" s="101"/>
      <c r="U144" s="101"/>
      <c r="V144" s="101"/>
      <c r="W144" s="101"/>
      <c r="X144" s="101"/>
      <c r="Y144" s="108"/>
      <c r="Z144" s="101"/>
      <c r="AA144" s="101"/>
      <c r="AB144" s="101"/>
      <c r="AC144" s="101"/>
      <c r="AD144" s="101"/>
      <c r="AE144" s="101"/>
    </row>
    <row r="145">
      <c r="A145" s="101"/>
      <c r="B145" s="101"/>
      <c r="C145" s="104"/>
      <c r="D145" s="105"/>
      <c r="E145" s="106"/>
      <c r="F145" s="101"/>
      <c r="G145" s="101"/>
      <c r="H145" s="107"/>
      <c r="I145" s="107"/>
      <c r="J145" s="101"/>
      <c r="K145" s="107"/>
      <c r="L145" s="107"/>
      <c r="M145" s="101"/>
      <c r="N145" s="101"/>
      <c r="O145" s="101"/>
      <c r="P145" s="101"/>
      <c r="Q145" s="104"/>
      <c r="R145" s="104"/>
      <c r="S145" s="104"/>
      <c r="T145" s="101"/>
      <c r="U145" s="101"/>
      <c r="V145" s="101"/>
      <c r="W145" s="101"/>
      <c r="X145" s="101"/>
      <c r="Y145" s="108"/>
      <c r="Z145" s="101"/>
      <c r="AA145" s="101"/>
      <c r="AB145" s="101"/>
      <c r="AC145" s="101"/>
      <c r="AD145" s="101"/>
      <c r="AE145" s="101"/>
    </row>
    <row r="146">
      <c r="A146" s="101"/>
      <c r="B146" s="101"/>
      <c r="C146" s="104"/>
      <c r="D146" s="105"/>
      <c r="E146" s="106"/>
      <c r="F146" s="101"/>
      <c r="G146" s="101"/>
      <c r="H146" s="107"/>
      <c r="I146" s="107"/>
      <c r="J146" s="101"/>
      <c r="K146" s="107"/>
      <c r="L146" s="107"/>
      <c r="M146" s="101"/>
      <c r="N146" s="101"/>
      <c r="O146" s="101"/>
      <c r="P146" s="101"/>
      <c r="Q146" s="104"/>
      <c r="R146" s="104"/>
      <c r="S146" s="104"/>
      <c r="T146" s="101"/>
      <c r="U146" s="101"/>
      <c r="V146" s="101"/>
      <c r="W146" s="101"/>
      <c r="X146" s="101"/>
      <c r="Y146" s="108"/>
      <c r="Z146" s="101"/>
      <c r="AA146" s="101"/>
      <c r="AB146" s="101"/>
      <c r="AC146" s="101"/>
      <c r="AD146" s="101"/>
      <c r="AE146" s="101"/>
    </row>
    <row r="147">
      <c r="A147" s="101"/>
      <c r="B147" s="101"/>
      <c r="C147" s="104"/>
      <c r="D147" s="105"/>
      <c r="E147" s="106"/>
      <c r="F147" s="101"/>
      <c r="G147" s="101"/>
      <c r="H147" s="107"/>
      <c r="I147" s="107"/>
      <c r="J147" s="101"/>
      <c r="K147" s="107"/>
      <c r="L147" s="107"/>
      <c r="M147" s="101"/>
      <c r="N147" s="101"/>
      <c r="O147" s="101"/>
      <c r="P147" s="101"/>
      <c r="Q147" s="104"/>
      <c r="R147" s="104"/>
      <c r="S147" s="104"/>
      <c r="T147" s="101"/>
      <c r="U147" s="101"/>
      <c r="V147" s="101"/>
      <c r="W147" s="101"/>
      <c r="X147" s="101"/>
      <c r="Y147" s="108"/>
      <c r="Z147" s="101"/>
      <c r="AA147" s="101"/>
      <c r="AB147" s="101"/>
      <c r="AC147" s="101"/>
      <c r="AD147" s="101"/>
      <c r="AE147" s="101"/>
    </row>
    <row r="148">
      <c r="A148" s="101"/>
      <c r="B148" s="101"/>
      <c r="C148" s="104"/>
      <c r="D148" s="105"/>
      <c r="E148" s="106"/>
      <c r="F148" s="101"/>
      <c r="G148" s="101"/>
      <c r="H148" s="107"/>
      <c r="I148" s="107"/>
      <c r="J148" s="101"/>
      <c r="K148" s="107"/>
      <c r="L148" s="107"/>
      <c r="M148" s="101"/>
      <c r="N148" s="101"/>
      <c r="O148" s="101"/>
      <c r="P148" s="101"/>
      <c r="Q148" s="104"/>
      <c r="R148" s="104"/>
      <c r="S148" s="104"/>
      <c r="T148" s="101"/>
      <c r="U148" s="101"/>
      <c r="V148" s="101"/>
      <c r="W148" s="101"/>
      <c r="X148" s="101"/>
      <c r="Y148" s="108"/>
      <c r="Z148" s="101"/>
      <c r="AA148" s="101"/>
      <c r="AB148" s="101"/>
      <c r="AC148" s="101"/>
      <c r="AD148" s="101"/>
      <c r="AE148" s="101"/>
    </row>
    <row r="149">
      <c r="A149" s="101"/>
      <c r="B149" s="101"/>
      <c r="C149" s="104"/>
      <c r="D149" s="105"/>
      <c r="E149" s="106"/>
      <c r="F149" s="101"/>
      <c r="G149" s="101"/>
      <c r="H149" s="107"/>
      <c r="I149" s="107"/>
      <c r="J149" s="101"/>
      <c r="K149" s="107"/>
      <c r="L149" s="107"/>
      <c r="M149" s="101"/>
      <c r="N149" s="101"/>
      <c r="O149" s="101"/>
      <c r="P149" s="101"/>
      <c r="Q149" s="104"/>
      <c r="R149" s="104"/>
      <c r="S149" s="104"/>
      <c r="T149" s="101"/>
      <c r="U149" s="101"/>
      <c r="V149" s="101"/>
      <c r="W149" s="101"/>
      <c r="X149" s="101"/>
      <c r="Y149" s="108"/>
      <c r="Z149" s="101"/>
      <c r="AA149" s="101"/>
      <c r="AB149" s="101"/>
      <c r="AC149" s="101"/>
      <c r="AD149" s="101"/>
      <c r="AE149" s="101"/>
    </row>
    <row r="150">
      <c r="A150" s="101"/>
      <c r="B150" s="101"/>
      <c r="C150" s="104"/>
      <c r="D150" s="105"/>
      <c r="E150" s="106"/>
      <c r="F150" s="101"/>
      <c r="G150" s="101"/>
      <c r="H150" s="107"/>
      <c r="I150" s="107"/>
      <c r="J150" s="101"/>
      <c r="K150" s="107"/>
      <c r="L150" s="107"/>
      <c r="M150" s="101"/>
      <c r="N150" s="101"/>
      <c r="O150" s="101"/>
      <c r="P150" s="101"/>
      <c r="Q150" s="104"/>
      <c r="R150" s="104"/>
      <c r="S150" s="104"/>
      <c r="T150" s="101"/>
      <c r="U150" s="101"/>
      <c r="V150" s="101"/>
      <c r="W150" s="101"/>
      <c r="X150" s="101"/>
      <c r="Y150" s="108"/>
      <c r="Z150" s="101"/>
      <c r="AA150" s="101"/>
      <c r="AB150" s="101"/>
      <c r="AC150" s="101"/>
      <c r="AD150" s="101"/>
      <c r="AE150" s="101"/>
    </row>
    <row r="151">
      <c r="A151" s="101"/>
      <c r="B151" s="101"/>
      <c r="C151" s="104"/>
      <c r="D151" s="105"/>
      <c r="E151" s="106"/>
      <c r="F151" s="101"/>
      <c r="G151" s="101"/>
      <c r="H151" s="107"/>
      <c r="I151" s="107"/>
      <c r="J151" s="101"/>
      <c r="K151" s="107"/>
      <c r="L151" s="107"/>
      <c r="M151" s="101"/>
      <c r="N151" s="101"/>
      <c r="O151" s="101"/>
      <c r="P151" s="101"/>
      <c r="Q151" s="104"/>
      <c r="R151" s="104"/>
      <c r="S151" s="104"/>
      <c r="T151" s="101"/>
      <c r="U151" s="101"/>
      <c r="V151" s="101"/>
      <c r="W151" s="101"/>
      <c r="X151" s="101"/>
      <c r="Y151" s="108"/>
      <c r="Z151" s="101"/>
      <c r="AA151" s="101"/>
      <c r="AB151" s="101"/>
      <c r="AC151" s="101"/>
      <c r="AD151" s="101"/>
      <c r="AE151" s="101"/>
    </row>
    <row r="152">
      <c r="A152" s="101"/>
      <c r="B152" s="101"/>
      <c r="C152" s="104"/>
      <c r="D152" s="105"/>
      <c r="E152" s="106"/>
      <c r="F152" s="101"/>
      <c r="G152" s="101"/>
      <c r="H152" s="107"/>
      <c r="I152" s="107"/>
      <c r="J152" s="101"/>
      <c r="K152" s="107"/>
      <c r="L152" s="107"/>
      <c r="M152" s="101"/>
      <c r="N152" s="101"/>
      <c r="O152" s="101"/>
      <c r="P152" s="101"/>
      <c r="Q152" s="104"/>
      <c r="R152" s="104"/>
      <c r="S152" s="104"/>
      <c r="T152" s="101"/>
      <c r="U152" s="101"/>
      <c r="V152" s="101"/>
      <c r="W152" s="101"/>
      <c r="X152" s="101"/>
      <c r="Y152" s="108"/>
      <c r="Z152" s="101"/>
      <c r="AA152" s="101"/>
      <c r="AB152" s="101"/>
      <c r="AC152" s="101"/>
      <c r="AD152" s="101"/>
      <c r="AE152" s="101"/>
    </row>
    <row r="153">
      <c r="A153" s="101"/>
      <c r="B153" s="101"/>
      <c r="C153" s="104"/>
      <c r="D153" s="105"/>
      <c r="E153" s="106"/>
      <c r="F153" s="101"/>
      <c r="G153" s="101"/>
      <c r="H153" s="107"/>
      <c r="I153" s="107"/>
      <c r="J153" s="101"/>
      <c r="K153" s="107"/>
      <c r="L153" s="107"/>
      <c r="M153" s="101"/>
      <c r="N153" s="101"/>
      <c r="O153" s="101"/>
      <c r="P153" s="101"/>
      <c r="Q153" s="104"/>
      <c r="R153" s="104"/>
      <c r="S153" s="104"/>
      <c r="T153" s="101"/>
      <c r="U153" s="101"/>
      <c r="V153" s="101"/>
      <c r="W153" s="101"/>
      <c r="X153" s="101"/>
      <c r="Y153" s="108"/>
      <c r="Z153" s="101"/>
      <c r="AA153" s="101"/>
      <c r="AB153" s="101"/>
      <c r="AC153" s="101"/>
      <c r="AD153" s="101"/>
      <c r="AE153" s="101"/>
    </row>
    <row r="154">
      <c r="A154" s="101"/>
      <c r="B154" s="101"/>
      <c r="C154" s="104"/>
      <c r="D154" s="105"/>
      <c r="E154" s="106"/>
      <c r="F154" s="101"/>
      <c r="G154" s="101"/>
      <c r="H154" s="107"/>
      <c r="I154" s="107"/>
      <c r="J154" s="101"/>
      <c r="K154" s="107"/>
      <c r="L154" s="107"/>
      <c r="M154" s="101"/>
      <c r="N154" s="101"/>
      <c r="O154" s="101"/>
      <c r="P154" s="101"/>
      <c r="Q154" s="104"/>
      <c r="R154" s="104"/>
      <c r="S154" s="104"/>
      <c r="T154" s="101"/>
      <c r="U154" s="101"/>
      <c r="V154" s="101"/>
      <c r="W154" s="101"/>
      <c r="X154" s="101"/>
      <c r="Y154" s="108"/>
      <c r="Z154" s="101"/>
      <c r="AA154" s="101"/>
      <c r="AB154" s="101"/>
      <c r="AC154" s="101"/>
      <c r="AD154" s="101"/>
      <c r="AE154" s="101"/>
    </row>
    <row r="155">
      <c r="A155" s="101"/>
      <c r="B155" s="101"/>
      <c r="C155" s="104"/>
      <c r="D155" s="105"/>
      <c r="E155" s="106"/>
      <c r="F155" s="101"/>
      <c r="G155" s="101"/>
      <c r="H155" s="107"/>
      <c r="I155" s="107"/>
      <c r="J155" s="101"/>
      <c r="K155" s="107"/>
      <c r="L155" s="107"/>
      <c r="M155" s="101"/>
      <c r="N155" s="101"/>
      <c r="O155" s="101"/>
      <c r="P155" s="101"/>
      <c r="Q155" s="104"/>
      <c r="R155" s="104"/>
      <c r="S155" s="104"/>
      <c r="T155" s="101"/>
      <c r="U155" s="101"/>
      <c r="V155" s="101"/>
      <c r="W155" s="101"/>
      <c r="X155" s="101"/>
      <c r="Y155" s="108"/>
      <c r="Z155" s="101"/>
      <c r="AA155" s="101"/>
      <c r="AB155" s="101"/>
      <c r="AC155" s="101"/>
      <c r="AD155" s="101"/>
      <c r="AE155" s="101"/>
    </row>
    <row r="156">
      <c r="A156" s="101"/>
      <c r="B156" s="101"/>
      <c r="C156" s="104"/>
      <c r="D156" s="105"/>
      <c r="E156" s="106"/>
      <c r="F156" s="101"/>
      <c r="G156" s="101"/>
      <c r="H156" s="107"/>
      <c r="I156" s="107"/>
      <c r="J156" s="101"/>
      <c r="K156" s="107"/>
      <c r="L156" s="107"/>
      <c r="M156" s="101"/>
      <c r="N156" s="101"/>
      <c r="O156" s="101"/>
      <c r="P156" s="101"/>
      <c r="Q156" s="104"/>
      <c r="R156" s="104"/>
      <c r="S156" s="104"/>
      <c r="T156" s="101"/>
      <c r="U156" s="101"/>
      <c r="V156" s="101"/>
      <c r="W156" s="101"/>
      <c r="X156" s="101"/>
      <c r="Y156" s="108"/>
      <c r="Z156" s="101"/>
      <c r="AA156" s="101"/>
      <c r="AB156" s="101"/>
      <c r="AC156" s="101"/>
      <c r="AD156" s="101"/>
      <c r="AE156" s="101"/>
    </row>
    <row r="157">
      <c r="A157" s="101"/>
      <c r="B157" s="101"/>
      <c r="C157" s="104"/>
      <c r="D157" s="105"/>
      <c r="E157" s="106"/>
      <c r="F157" s="101"/>
      <c r="G157" s="101"/>
      <c r="H157" s="107"/>
      <c r="I157" s="107"/>
      <c r="J157" s="101"/>
      <c r="K157" s="107"/>
      <c r="L157" s="107"/>
      <c r="M157" s="101"/>
      <c r="N157" s="101"/>
      <c r="O157" s="101"/>
      <c r="P157" s="101"/>
      <c r="Q157" s="104"/>
      <c r="R157" s="104"/>
      <c r="S157" s="104"/>
      <c r="T157" s="101"/>
      <c r="U157" s="101"/>
      <c r="V157" s="101"/>
      <c r="W157" s="101"/>
      <c r="X157" s="101"/>
      <c r="Y157" s="108"/>
      <c r="Z157" s="101"/>
      <c r="AA157" s="101"/>
      <c r="AB157" s="101"/>
      <c r="AC157" s="101"/>
      <c r="AD157" s="101"/>
      <c r="AE157" s="101"/>
    </row>
    <row r="158">
      <c r="A158" s="101"/>
      <c r="B158" s="101"/>
      <c r="C158" s="104"/>
      <c r="D158" s="105"/>
      <c r="E158" s="106"/>
      <c r="F158" s="101"/>
      <c r="G158" s="101"/>
      <c r="H158" s="107"/>
      <c r="I158" s="107"/>
      <c r="J158" s="101"/>
      <c r="K158" s="107"/>
      <c r="L158" s="107"/>
      <c r="M158" s="101"/>
      <c r="N158" s="101"/>
      <c r="O158" s="101"/>
      <c r="P158" s="101"/>
      <c r="Q158" s="104"/>
      <c r="R158" s="104"/>
      <c r="S158" s="104"/>
      <c r="T158" s="101"/>
      <c r="U158" s="101"/>
      <c r="V158" s="101"/>
      <c r="W158" s="101"/>
      <c r="X158" s="101"/>
      <c r="Y158" s="108"/>
      <c r="Z158" s="101"/>
      <c r="AA158" s="101"/>
      <c r="AB158" s="101"/>
      <c r="AC158" s="101"/>
      <c r="AD158" s="101"/>
      <c r="AE158" s="101"/>
    </row>
    <row r="159">
      <c r="A159" s="101"/>
      <c r="B159" s="101"/>
      <c r="C159" s="104"/>
      <c r="D159" s="105"/>
      <c r="E159" s="106"/>
      <c r="F159" s="101"/>
      <c r="G159" s="101"/>
      <c r="H159" s="107"/>
      <c r="I159" s="107"/>
      <c r="J159" s="101"/>
      <c r="K159" s="107"/>
      <c r="L159" s="107"/>
      <c r="M159" s="101"/>
      <c r="N159" s="101"/>
      <c r="O159" s="101"/>
      <c r="P159" s="101"/>
      <c r="Q159" s="104"/>
      <c r="R159" s="104"/>
      <c r="S159" s="104"/>
      <c r="T159" s="101"/>
      <c r="U159" s="101"/>
      <c r="V159" s="101"/>
      <c r="W159" s="101"/>
      <c r="X159" s="101"/>
      <c r="Y159" s="108"/>
      <c r="Z159" s="101"/>
      <c r="AA159" s="101"/>
      <c r="AB159" s="101"/>
      <c r="AC159" s="101"/>
      <c r="AD159" s="101"/>
      <c r="AE159" s="101"/>
    </row>
    <row r="160">
      <c r="A160" s="101"/>
      <c r="B160" s="101"/>
      <c r="C160" s="104"/>
      <c r="D160" s="105"/>
      <c r="E160" s="106"/>
      <c r="F160" s="101"/>
      <c r="G160" s="101"/>
      <c r="H160" s="107"/>
      <c r="I160" s="107"/>
      <c r="J160" s="101"/>
      <c r="K160" s="107"/>
      <c r="L160" s="107"/>
      <c r="M160" s="101"/>
      <c r="N160" s="101"/>
      <c r="O160" s="101"/>
      <c r="P160" s="101"/>
      <c r="Q160" s="104"/>
      <c r="R160" s="104"/>
      <c r="S160" s="104"/>
      <c r="T160" s="101"/>
      <c r="U160" s="101"/>
      <c r="V160" s="101"/>
      <c r="W160" s="101"/>
      <c r="X160" s="101"/>
      <c r="Y160" s="108"/>
      <c r="Z160" s="101"/>
      <c r="AA160" s="101"/>
      <c r="AB160" s="101"/>
      <c r="AC160" s="101"/>
      <c r="AD160" s="101"/>
      <c r="AE160" s="101"/>
    </row>
    <row r="161">
      <c r="A161" s="101"/>
      <c r="B161" s="101"/>
      <c r="C161" s="104"/>
      <c r="D161" s="105"/>
      <c r="E161" s="106"/>
      <c r="F161" s="101"/>
      <c r="G161" s="101"/>
      <c r="H161" s="107"/>
      <c r="I161" s="107"/>
      <c r="J161" s="101"/>
      <c r="K161" s="107"/>
      <c r="L161" s="107"/>
      <c r="M161" s="101"/>
      <c r="N161" s="101"/>
      <c r="O161" s="101"/>
      <c r="P161" s="101"/>
      <c r="Q161" s="104"/>
      <c r="R161" s="104"/>
      <c r="S161" s="104"/>
      <c r="T161" s="101"/>
      <c r="U161" s="101"/>
      <c r="V161" s="101"/>
      <c r="W161" s="101"/>
      <c r="X161" s="101"/>
      <c r="Y161" s="108"/>
      <c r="Z161" s="101"/>
      <c r="AA161" s="101"/>
      <c r="AB161" s="101"/>
      <c r="AC161" s="101"/>
      <c r="AD161" s="101"/>
      <c r="AE161" s="101"/>
    </row>
    <row r="162">
      <c r="A162" s="101"/>
      <c r="B162" s="101"/>
      <c r="C162" s="104"/>
      <c r="D162" s="105"/>
      <c r="E162" s="106"/>
      <c r="F162" s="101"/>
      <c r="G162" s="101"/>
      <c r="H162" s="107"/>
      <c r="I162" s="107"/>
      <c r="J162" s="101"/>
      <c r="K162" s="107"/>
      <c r="L162" s="107"/>
      <c r="M162" s="101"/>
      <c r="N162" s="101"/>
      <c r="O162" s="101"/>
      <c r="P162" s="101"/>
      <c r="Q162" s="104"/>
      <c r="R162" s="104"/>
      <c r="S162" s="104"/>
      <c r="T162" s="101"/>
      <c r="U162" s="101"/>
      <c r="V162" s="101"/>
      <c r="W162" s="101"/>
      <c r="X162" s="101"/>
      <c r="Y162" s="108"/>
      <c r="Z162" s="101"/>
      <c r="AA162" s="101"/>
      <c r="AB162" s="101"/>
      <c r="AC162" s="101"/>
      <c r="AD162" s="101"/>
      <c r="AE162" s="101"/>
    </row>
    <row r="163">
      <c r="A163" s="101"/>
      <c r="B163" s="101"/>
      <c r="C163" s="104"/>
      <c r="D163" s="105"/>
      <c r="E163" s="106"/>
      <c r="F163" s="101"/>
      <c r="G163" s="101"/>
      <c r="H163" s="107"/>
      <c r="I163" s="107"/>
      <c r="J163" s="101"/>
      <c r="K163" s="107"/>
      <c r="L163" s="107"/>
      <c r="M163" s="101"/>
      <c r="N163" s="101"/>
      <c r="O163" s="101"/>
      <c r="P163" s="101"/>
      <c r="Q163" s="104"/>
      <c r="R163" s="104"/>
      <c r="S163" s="104"/>
      <c r="T163" s="101"/>
      <c r="U163" s="101"/>
      <c r="V163" s="101"/>
      <c r="W163" s="101"/>
      <c r="X163" s="101"/>
      <c r="Y163" s="108"/>
      <c r="Z163" s="101"/>
      <c r="AA163" s="101"/>
      <c r="AB163" s="101"/>
      <c r="AC163" s="101"/>
      <c r="AD163" s="101"/>
      <c r="AE163" s="101"/>
    </row>
    <row r="164">
      <c r="A164" s="101"/>
      <c r="B164" s="101"/>
      <c r="C164" s="104"/>
      <c r="D164" s="105"/>
      <c r="E164" s="106"/>
      <c r="F164" s="101"/>
      <c r="G164" s="101"/>
      <c r="H164" s="107"/>
      <c r="I164" s="107"/>
      <c r="J164" s="101"/>
      <c r="K164" s="107"/>
      <c r="L164" s="107"/>
      <c r="M164" s="101"/>
      <c r="N164" s="101"/>
      <c r="O164" s="101"/>
      <c r="P164" s="101"/>
      <c r="Q164" s="104"/>
      <c r="R164" s="104"/>
      <c r="S164" s="104"/>
      <c r="T164" s="101"/>
      <c r="U164" s="101"/>
      <c r="V164" s="101"/>
      <c r="W164" s="101"/>
      <c r="X164" s="101"/>
      <c r="Y164" s="108"/>
      <c r="Z164" s="101"/>
      <c r="AA164" s="101"/>
      <c r="AB164" s="101"/>
      <c r="AC164" s="101"/>
      <c r="AD164" s="101"/>
      <c r="AE164" s="101"/>
    </row>
    <row r="165">
      <c r="A165" s="101"/>
      <c r="B165" s="101"/>
      <c r="C165" s="104"/>
      <c r="D165" s="105"/>
      <c r="E165" s="106"/>
      <c r="F165" s="101"/>
      <c r="G165" s="101"/>
      <c r="H165" s="107"/>
      <c r="I165" s="107"/>
      <c r="J165" s="101"/>
      <c r="K165" s="107"/>
      <c r="L165" s="107"/>
      <c r="M165" s="101"/>
      <c r="N165" s="101"/>
      <c r="O165" s="101"/>
      <c r="P165" s="101"/>
      <c r="Q165" s="104"/>
      <c r="R165" s="104"/>
      <c r="S165" s="104"/>
      <c r="T165" s="101"/>
      <c r="U165" s="101"/>
      <c r="V165" s="101"/>
      <c r="W165" s="101"/>
      <c r="X165" s="101"/>
      <c r="Y165" s="108"/>
      <c r="Z165" s="101"/>
      <c r="AA165" s="101"/>
      <c r="AB165" s="101"/>
      <c r="AC165" s="101"/>
      <c r="AD165" s="101"/>
      <c r="AE165" s="101"/>
    </row>
    <row r="166">
      <c r="A166" s="101"/>
      <c r="B166" s="101"/>
      <c r="C166" s="104"/>
      <c r="D166" s="105"/>
      <c r="E166" s="106"/>
      <c r="F166" s="101"/>
      <c r="G166" s="101"/>
      <c r="H166" s="107"/>
      <c r="I166" s="107"/>
      <c r="J166" s="101"/>
      <c r="K166" s="107"/>
      <c r="L166" s="107"/>
      <c r="M166" s="101"/>
      <c r="N166" s="101"/>
      <c r="O166" s="101"/>
      <c r="P166" s="101"/>
      <c r="Q166" s="104"/>
      <c r="R166" s="104"/>
      <c r="S166" s="104"/>
      <c r="T166" s="101"/>
      <c r="U166" s="101"/>
      <c r="V166" s="101"/>
      <c r="W166" s="101"/>
      <c r="X166" s="101"/>
      <c r="Y166" s="108"/>
      <c r="Z166" s="101"/>
      <c r="AA166" s="101"/>
      <c r="AB166" s="101"/>
      <c r="AC166" s="101"/>
      <c r="AD166" s="101"/>
      <c r="AE166" s="101"/>
    </row>
    <row r="167">
      <c r="A167" s="101"/>
      <c r="B167" s="101"/>
      <c r="C167" s="104"/>
      <c r="D167" s="105"/>
      <c r="E167" s="106"/>
      <c r="F167" s="101"/>
      <c r="G167" s="101"/>
      <c r="H167" s="107"/>
      <c r="I167" s="107"/>
      <c r="J167" s="101"/>
      <c r="K167" s="107"/>
      <c r="L167" s="107"/>
      <c r="M167" s="101"/>
      <c r="N167" s="101"/>
      <c r="O167" s="101"/>
      <c r="P167" s="101"/>
      <c r="Q167" s="104"/>
      <c r="R167" s="104"/>
      <c r="S167" s="104"/>
      <c r="T167" s="101"/>
      <c r="U167" s="101"/>
      <c r="V167" s="101"/>
      <c r="W167" s="101"/>
      <c r="X167" s="101"/>
      <c r="Y167" s="108"/>
      <c r="Z167" s="101"/>
      <c r="AA167" s="101"/>
      <c r="AB167" s="101"/>
      <c r="AC167" s="101"/>
      <c r="AD167" s="101"/>
      <c r="AE167" s="101"/>
    </row>
    <row r="168">
      <c r="A168" s="101"/>
      <c r="B168" s="101"/>
      <c r="C168" s="104"/>
      <c r="D168" s="105"/>
      <c r="E168" s="106"/>
      <c r="F168" s="101"/>
      <c r="G168" s="101"/>
      <c r="H168" s="107"/>
      <c r="I168" s="107"/>
      <c r="J168" s="101"/>
      <c r="K168" s="107"/>
      <c r="L168" s="107"/>
      <c r="M168" s="101"/>
      <c r="N168" s="101"/>
      <c r="O168" s="101"/>
      <c r="P168" s="101"/>
      <c r="Q168" s="104"/>
      <c r="R168" s="104"/>
      <c r="S168" s="104"/>
      <c r="T168" s="101"/>
      <c r="U168" s="101"/>
      <c r="V168" s="101"/>
      <c r="W168" s="101"/>
      <c r="X168" s="101"/>
      <c r="Y168" s="108"/>
      <c r="Z168" s="101"/>
      <c r="AA168" s="101"/>
      <c r="AB168" s="101"/>
      <c r="AC168" s="101"/>
      <c r="AD168" s="101"/>
      <c r="AE168" s="101"/>
    </row>
    <row r="169">
      <c r="A169" s="101"/>
      <c r="B169" s="101"/>
      <c r="C169" s="104"/>
      <c r="D169" s="105"/>
      <c r="E169" s="106"/>
      <c r="F169" s="101"/>
      <c r="G169" s="101"/>
      <c r="H169" s="107"/>
      <c r="I169" s="107"/>
      <c r="J169" s="101"/>
      <c r="K169" s="107"/>
      <c r="L169" s="107"/>
      <c r="M169" s="101"/>
      <c r="N169" s="101"/>
      <c r="O169" s="101"/>
      <c r="P169" s="101"/>
      <c r="Q169" s="104"/>
      <c r="R169" s="104"/>
      <c r="S169" s="104"/>
      <c r="T169" s="101"/>
      <c r="U169" s="101"/>
      <c r="V169" s="101"/>
      <c r="W169" s="101"/>
      <c r="X169" s="101"/>
      <c r="Y169" s="108"/>
      <c r="Z169" s="101"/>
      <c r="AA169" s="101"/>
      <c r="AB169" s="101"/>
      <c r="AC169" s="101"/>
      <c r="AD169" s="101"/>
      <c r="AE169" s="101"/>
    </row>
    <row r="170">
      <c r="A170" s="101"/>
      <c r="B170" s="101"/>
      <c r="C170" s="104"/>
      <c r="D170" s="105"/>
      <c r="E170" s="106"/>
      <c r="F170" s="101"/>
      <c r="G170" s="101"/>
      <c r="H170" s="107"/>
      <c r="I170" s="107"/>
      <c r="J170" s="101"/>
      <c r="K170" s="107"/>
      <c r="L170" s="107"/>
      <c r="M170" s="101"/>
      <c r="N170" s="101"/>
      <c r="O170" s="101"/>
      <c r="P170" s="101"/>
      <c r="Q170" s="104"/>
      <c r="R170" s="104"/>
      <c r="S170" s="104"/>
      <c r="T170" s="101"/>
      <c r="U170" s="101"/>
      <c r="V170" s="101"/>
      <c r="W170" s="101"/>
      <c r="X170" s="101"/>
      <c r="Y170" s="108"/>
      <c r="Z170" s="101"/>
      <c r="AA170" s="101"/>
      <c r="AB170" s="101"/>
      <c r="AC170" s="101"/>
      <c r="AD170" s="101"/>
      <c r="AE170" s="101"/>
    </row>
    <row r="171">
      <c r="A171" s="101"/>
      <c r="B171" s="101"/>
      <c r="C171" s="104"/>
      <c r="D171" s="105"/>
      <c r="E171" s="106"/>
      <c r="F171" s="101"/>
      <c r="G171" s="101"/>
      <c r="H171" s="107"/>
      <c r="I171" s="107"/>
      <c r="J171" s="101"/>
      <c r="K171" s="107"/>
      <c r="L171" s="107"/>
      <c r="M171" s="101"/>
      <c r="N171" s="101"/>
      <c r="O171" s="101"/>
      <c r="P171" s="101"/>
      <c r="Q171" s="104"/>
      <c r="R171" s="104"/>
      <c r="S171" s="104"/>
      <c r="T171" s="101"/>
      <c r="U171" s="101"/>
      <c r="V171" s="101"/>
      <c r="W171" s="101"/>
      <c r="X171" s="101"/>
      <c r="Y171" s="108"/>
      <c r="Z171" s="101"/>
      <c r="AA171" s="101"/>
      <c r="AB171" s="101"/>
      <c r="AC171" s="101"/>
      <c r="AD171" s="101"/>
      <c r="AE171" s="101"/>
    </row>
    <row r="172">
      <c r="A172" s="101"/>
      <c r="B172" s="101"/>
      <c r="C172" s="104"/>
      <c r="D172" s="105"/>
      <c r="E172" s="106"/>
      <c r="F172" s="101"/>
      <c r="G172" s="101"/>
      <c r="H172" s="107"/>
      <c r="I172" s="107"/>
      <c r="J172" s="101"/>
      <c r="K172" s="107"/>
      <c r="L172" s="107"/>
      <c r="M172" s="101"/>
      <c r="N172" s="101"/>
      <c r="O172" s="101"/>
      <c r="P172" s="101"/>
      <c r="Q172" s="104"/>
      <c r="R172" s="104"/>
      <c r="S172" s="104"/>
      <c r="T172" s="101"/>
      <c r="U172" s="101"/>
      <c r="V172" s="101"/>
      <c r="W172" s="101"/>
      <c r="X172" s="101"/>
      <c r="Y172" s="108"/>
      <c r="Z172" s="101"/>
      <c r="AA172" s="101"/>
      <c r="AB172" s="101"/>
      <c r="AC172" s="101"/>
      <c r="AD172" s="101"/>
      <c r="AE172" s="101"/>
    </row>
    <row r="173">
      <c r="A173" s="101"/>
      <c r="B173" s="101"/>
      <c r="C173" s="104"/>
      <c r="D173" s="105"/>
      <c r="E173" s="106"/>
      <c r="F173" s="101"/>
      <c r="G173" s="101"/>
      <c r="H173" s="107"/>
      <c r="I173" s="107"/>
      <c r="J173" s="101"/>
      <c r="K173" s="107"/>
      <c r="L173" s="107"/>
      <c r="M173" s="101"/>
      <c r="N173" s="101"/>
      <c r="O173" s="101"/>
      <c r="P173" s="101"/>
      <c r="Q173" s="104"/>
      <c r="R173" s="104"/>
      <c r="S173" s="104"/>
      <c r="T173" s="101"/>
      <c r="U173" s="101"/>
      <c r="V173" s="101"/>
      <c r="W173" s="101"/>
      <c r="X173" s="101"/>
      <c r="Y173" s="108"/>
      <c r="Z173" s="101"/>
      <c r="AA173" s="101"/>
      <c r="AB173" s="101"/>
      <c r="AC173" s="101"/>
      <c r="AD173" s="101"/>
      <c r="AE173" s="101"/>
    </row>
    <row r="174">
      <c r="A174" s="101"/>
      <c r="B174" s="101"/>
      <c r="C174" s="104"/>
      <c r="D174" s="105"/>
      <c r="E174" s="106"/>
      <c r="F174" s="101"/>
      <c r="G174" s="101"/>
      <c r="H174" s="107"/>
      <c r="I174" s="107"/>
      <c r="J174" s="101"/>
      <c r="K174" s="107"/>
      <c r="L174" s="107"/>
      <c r="M174" s="101"/>
      <c r="N174" s="101"/>
      <c r="O174" s="101"/>
      <c r="P174" s="101"/>
      <c r="Q174" s="104"/>
      <c r="R174" s="104"/>
      <c r="S174" s="104"/>
      <c r="T174" s="101"/>
      <c r="U174" s="101"/>
      <c r="V174" s="101"/>
      <c r="W174" s="101"/>
      <c r="X174" s="101"/>
      <c r="Y174" s="108"/>
      <c r="Z174" s="101"/>
      <c r="AA174" s="101"/>
      <c r="AB174" s="101"/>
      <c r="AC174" s="101"/>
      <c r="AD174" s="101"/>
      <c r="AE174" s="101"/>
    </row>
    <row r="175">
      <c r="A175" s="101"/>
      <c r="B175" s="101"/>
      <c r="C175" s="104"/>
      <c r="D175" s="105"/>
      <c r="E175" s="106"/>
      <c r="F175" s="101"/>
      <c r="G175" s="101"/>
      <c r="H175" s="107"/>
      <c r="I175" s="107"/>
      <c r="J175" s="101"/>
      <c r="K175" s="107"/>
      <c r="L175" s="107"/>
      <c r="M175" s="101"/>
      <c r="N175" s="101"/>
      <c r="O175" s="101"/>
      <c r="P175" s="101"/>
      <c r="Q175" s="104"/>
      <c r="R175" s="104"/>
      <c r="S175" s="104"/>
      <c r="T175" s="101"/>
      <c r="U175" s="101"/>
      <c r="V175" s="101"/>
      <c r="W175" s="101"/>
      <c r="X175" s="101"/>
      <c r="Y175" s="108"/>
      <c r="Z175" s="101"/>
      <c r="AA175" s="101"/>
      <c r="AB175" s="101"/>
      <c r="AC175" s="101"/>
      <c r="AD175" s="101"/>
      <c r="AE175" s="101"/>
    </row>
    <row r="176">
      <c r="A176" s="101"/>
      <c r="B176" s="101"/>
      <c r="C176" s="104"/>
      <c r="D176" s="105"/>
      <c r="E176" s="106"/>
      <c r="F176" s="101"/>
      <c r="G176" s="101"/>
      <c r="H176" s="107"/>
      <c r="I176" s="107"/>
      <c r="J176" s="101"/>
      <c r="K176" s="107"/>
      <c r="L176" s="107"/>
      <c r="M176" s="101"/>
      <c r="N176" s="101"/>
      <c r="O176" s="101"/>
      <c r="P176" s="101"/>
      <c r="Q176" s="104"/>
      <c r="R176" s="104"/>
      <c r="S176" s="104"/>
      <c r="T176" s="101"/>
      <c r="U176" s="101"/>
      <c r="V176" s="101"/>
      <c r="W176" s="101"/>
      <c r="X176" s="101"/>
      <c r="Y176" s="108"/>
      <c r="Z176" s="101"/>
      <c r="AA176" s="101"/>
      <c r="AB176" s="101"/>
      <c r="AC176" s="101"/>
      <c r="AD176" s="101"/>
      <c r="AE176" s="101"/>
    </row>
    <row r="177">
      <c r="A177" s="101"/>
      <c r="B177" s="101"/>
      <c r="C177" s="104"/>
      <c r="D177" s="105"/>
      <c r="E177" s="106"/>
      <c r="F177" s="101"/>
      <c r="G177" s="101"/>
      <c r="H177" s="107"/>
      <c r="I177" s="107"/>
      <c r="J177" s="101"/>
      <c r="K177" s="107"/>
      <c r="L177" s="107"/>
      <c r="M177" s="101"/>
      <c r="N177" s="101"/>
      <c r="O177" s="101"/>
      <c r="P177" s="101"/>
      <c r="Q177" s="104"/>
      <c r="R177" s="104"/>
      <c r="S177" s="104"/>
      <c r="T177" s="101"/>
      <c r="U177" s="101"/>
      <c r="V177" s="101"/>
      <c r="W177" s="101"/>
      <c r="X177" s="101"/>
      <c r="Y177" s="108"/>
      <c r="Z177" s="101"/>
      <c r="AA177" s="101"/>
      <c r="AB177" s="101"/>
      <c r="AC177" s="101"/>
      <c r="AD177" s="101"/>
      <c r="AE177" s="101"/>
    </row>
    <row r="178">
      <c r="A178" s="101"/>
      <c r="B178" s="101"/>
      <c r="C178" s="104"/>
      <c r="D178" s="105"/>
      <c r="E178" s="106"/>
      <c r="F178" s="101"/>
      <c r="G178" s="101"/>
      <c r="H178" s="107"/>
      <c r="I178" s="107"/>
      <c r="J178" s="101"/>
      <c r="K178" s="107"/>
      <c r="L178" s="107"/>
      <c r="M178" s="101"/>
      <c r="N178" s="101"/>
      <c r="O178" s="101"/>
      <c r="P178" s="101"/>
      <c r="Q178" s="104"/>
      <c r="R178" s="104"/>
      <c r="S178" s="104"/>
      <c r="T178" s="101"/>
      <c r="U178" s="101"/>
      <c r="V178" s="101"/>
      <c r="W178" s="101"/>
      <c r="X178" s="101"/>
      <c r="Y178" s="108"/>
      <c r="Z178" s="101"/>
      <c r="AA178" s="101"/>
      <c r="AB178" s="101"/>
      <c r="AC178" s="101"/>
      <c r="AD178" s="101"/>
      <c r="AE178" s="101"/>
    </row>
    <row r="179">
      <c r="A179" s="101"/>
      <c r="B179" s="101"/>
      <c r="C179" s="104"/>
      <c r="D179" s="105"/>
      <c r="E179" s="106"/>
      <c r="F179" s="101"/>
      <c r="G179" s="101"/>
      <c r="H179" s="107"/>
      <c r="I179" s="107"/>
      <c r="J179" s="101"/>
      <c r="K179" s="107"/>
      <c r="L179" s="107"/>
      <c r="M179" s="101"/>
      <c r="N179" s="101"/>
      <c r="O179" s="101"/>
      <c r="P179" s="101"/>
      <c r="Q179" s="104"/>
      <c r="R179" s="104"/>
      <c r="S179" s="104"/>
      <c r="T179" s="101"/>
      <c r="U179" s="101"/>
      <c r="V179" s="101"/>
      <c r="W179" s="101"/>
      <c r="X179" s="101"/>
      <c r="Y179" s="108"/>
      <c r="Z179" s="101"/>
      <c r="AA179" s="101"/>
      <c r="AB179" s="101"/>
      <c r="AC179" s="101"/>
      <c r="AD179" s="101"/>
      <c r="AE179" s="101"/>
    </row>
    <row r="180">
      <c r="A180" s="101"/>
      <c r="B180" s="101"/>
      <c r="C180" s="104"/>
      <c r="D180" s="105"/>
      <c r="E180" s="106"/>
      <c r="F180" s="101"/>
      <c r="G180" s="101"/>
      <c r="H180" s="107"/>
      <c r="I180" s="107"/>
      <c r="J180" s="101"/>
      <c r="K180" s="107"/>
      <c r="L180" s="107"/>
      <c r="M180" s="101"/>
      <c r="N180" s="101"/>
      <c r="O180" s="101"/>
      <c r="P180" s="101"/>
      <c r="Q180" s="104"/>
      <c r="R180" s="104"/>
      <c r="S180" s="104"/>
      <c r="T180" s="101"/>
      <c r="U180" s="101"/>
      <c r="V180" s="101"/>
      <c r="W180" s="101"/>
      <c r="X180" s="101"/>
      <c r="Y180" s="108"/>
      <c r="Z180" s="101"/>
      <c r="AA180" s="101"/>
      <c r="AB180" s="101"/>
      <c r="AC180" s="101"/>
      <c r="AD180" s="101"/>
      <c r="AE180" s="101"/>
    </row>
    <row r="181">
      <c r="A181" s="101"/>
      <c r="B181" s="101"/>
      <c r="C181" s="104"/>
      <c r="D181" s="105"/>
      <c r="E181" s="106"/>
      <c r="F181" s="101"/>
      <c r="G181" s="101"/>
      <c r="H181" s="107"/>
      <c r="I181" s="107"/>
      <c r="J181" s="101"/>
      <c r="K181" s="107"/>
      <c r="L181" s="107"/>
      <c r="M181" s="101"/>
      <c r="N181" s="101"/>
      <c r="O181" s="101"/>
      <c r="P181" s="101"/>
      <c r="Q181" s="104"/>
      <c r="R181" s="104"/>
      <c r="S181" s="104"/>
      <c r="T181" s="101"/>
      <c r="U181" s="101"/>
      <c r="V181" s="101"/>
      <c r="W181" s="101"/>
      <c r="X181" s="101"/>
      <c r="Y181" s="108"/>
      <c r="Z181" s="101"/>
      <c r="AA181" s="101"/>
      <c r="AB181" s="101"/>
      <c r="AC181" s="101"/>
      <c r="AD181" s="101"/>
      <c r="AE181" s="101"/>
    </row>
    <row r="182">
      <c r="A182" s="101"/>
      <c r="B182" s="101"/>
      <c r="C182" s="104"/>
      <c r="D182" s="105"/>
      <c r="E182" s="106"/>
      <c r="F182" s="101"/>
      <c r="G182" s="101"/>
      <c r="H182" s="107"/>
      <c r="I182" s="107"/>
      <c r="J182" s="101"/>
      <c r="K182" s="107"/>
      <c r="L182" s="107"/>
      <c r="M182" s="101"/>
      <c r="N182" s="101"/>
      <c r="O182" s="101"/>
      <c r="P182" s="101"/>
      <c r="Q182" s="104"/>
      <c r="R182" s="104"/>
      <c r="S182" s="104"/>
      <c r="T182" s="101"/>
      <c r="U182" s="101"/>
      <c r="V182" s="101"/>
      <c r="W182" s="101"/>
      <c r="X182" s="101"/>
      <c r="Y182" s="108"/>
      <c r="Z182" s="101"/>
      <c r="AA182" s="101"/>
      <c r="AB182" s="101"/>
      <c r="AC182" s="101"/>
      <c r="AD182" s="101"/>
      <c r="AE182" s="101"/>
    </row>
    <row r="183">
      <c r="A183" s="101"/>
      <c r="B183" s="101"/>
      <c r="C183" s="104"/>
      <c r="D183" s="105"/>
      <c r="E183" s="106"/>
      <c r="F183" s="101"/>
      <c r="G183" s="101"/>
      <c r="H183" s="107"/>
      <c r="I183" s="107"/>
      <c r="J183" s="101"/>
      <c r="K183" s="107"/>
      <c r="L183" s="107"/>
      <c r="M183" s="101"/>
      <c r="N183" s="101"/>
      <c r="O183" s="101"/>
      <c r="P183" s="101"/>
      <c r="Q183" s="104"/>
      <c r="R183" s="104"/>
      <c r="S183" s="104"/>
      <c r="T183" s="101"/>
      <c r="U183" s="101"/>
      <c r="V183" s="101"/>
      <c r="W183" s="101"/>
      <c r="X183" s="101"/>
      <c r="Y183" s="108"/>
      <c r="Z183" s="101"/>
      <c r="AA183" s="101"/>
      <c r="AB183" s="101"/>
      <c r="AC183" s="101"/>
      <c r="AD183" s="101"/>
      <c r="AE183" s="101"/>
    </row>
    <row r="184">
      <c r="A184" s="101"/>
      <c r="B184" s="101"/>
      <c r="C184" s="104"/>
      <c r="D184" s="105"/>
      <c r="E184" s="106"/>
      <c r="F184" s="101"/>
      <c r="G184" s="101"/>
      <c r="H184" s="107"/>
      <c r="I184" s="107"/>
      <c r="J184" s="101"/>
      <c r="K184" s="107"/>
      <c r="L184" s="107"/>
      <c r="M184" s="101"/>
      <c r="N184" s="101"/>
      <c r="O184" s="101"/>
      <c r="P184" s="101"/>
      <c r="Q184" s="104"/>
      <c r="R184" s="104"/>
      <c r="S184" s="104"/>
      <c r="T184" s="101"/>
      <c r="U184" s="101"/>
      <c r="V184" s="101"/>
      <c r="W184" s="101"/>
      <c r="X184" s="101"/>
      <c r="Y184" s="108"/>
      <c r="Z184" s="101"/>
      <c r="AA184" s="101"/>
      <c r="AB184" s="101"/>
      <c r="AC184" s="101"/>
      <c r="AD184" s="101"/>
      <c r="AE184" s="101"/>
    </row>
    <row r="185">
      <c r="A185" s="101"/>
      <c r="B185" s="101"/>
      <c r="C185" s="104"/>
      <c r="D185" s="105"/>
      <c r="E185" s="106"/>
      <c r="F185" s="101"/>
      <c r="G185" s="101"/>
      <c r="H185" s="107"/>
      <c r="I185" s="107"/>
      <c r="J185" s="101"/>
      <c r="K185" s="107"/>
      <c r="L185" s="107"/>
      <c r="M185" s="101"/>
      <c r="N185" s="101"/>
      <c r="O185" s="101"/>
      <c r="P185" s="101"/>
      <c r="Q185" s="104"/>
      <c r="R185" s="104"/>
      <c r="S185" s="104"/>
      <c r="T185" s="101"/>
      <c r="U185" s="101"/>
      <c r="V185" s="101"/>
      <c r="W185" s="101"/>
      <c r="X185" s="101"/>
      <c r="Y185" s="108"/>
      <c r="Z185" s="101"/>
      <c r="AA185" s="101"/>
      <c r="AB185" s="101"/>
      <c r="AC185" s="101"/>
      <c r="AD185" s="101"/>
      <c r="AE185" s="101"/>
    </row>
    <row r="186">
      <c r="A186" s="101"/>
      <c r="B186" s="101"/>
      <c r="C186" s="104"/>
      <c r="D186" s="105"/>
      <c r="E186" s="106"/>
      <c r="F186" s="101"/>
      <c r="G186" s="101"/>
      <c r="H186" s="107"/>
      <c r="I186" s="107"/>
      <c r="J186" s="101"/>
      <c r="K186" s="107"/>
      <c r="L186" s="107"/>
      <c r="M186" s="101"/>
      <c r="N186" s="101"/>
      <c r="O186" s="101"/>
      <c r="P186" s="101"/>
      <c r="Q186" s="104"/>
      <c r="R186" s="104"/>
      <c r="S186" s="104"/>
      <c r="T186" s="101"/>
      <c r="U186" s="101"/>
      <c r="V186" s="101"/>
      <c r="W186" s="101"/>
      <c r="X186" s="101"/>
      <c r="Y186" s="108"/>
      <c r="Z186" s="101"/>
      <c r="AA186" s="101"/>
      <c r="AB186" s="101"/>
      <c r="AC186" s="101"/>
      <c r="AD186" s="101"/>
      <c r="AE186" s="101"/>
    </row>
    <row r="187">
      <c r="A187" s="101"/>
      <c r="B187" s="101"/>
      <c r="C187" s="104"/>
      <c r="D187" s="105"/>
      <c r="E187" s="106"/>
      <c r="F187" s="101"/>
      <c r="G187" s="101"/>
      <c r="H187" s="107"/>
      <c r="I187" s="107"/>
      <c r="J187" s="101"/>
      <c r="K187" s="107"/>
      <c r="L187" s="107"/>
      <c r="M187" s="101"/>
      <c r="N187" s="101"/>
      <c r="O187" s="101"/>
      <c r="P187" s="101"/>
      <c r="Q187" s="104"/>
      <c r="R187" s="104"/>
      <c r="S187" s="104"/>
      <c r="T187" s="101"/>
      <c r="U187" s="101"/>
      <c r="V187" s="101"/>
      <c r="W187" s="101"/>
      <c r="X187" s="101"/>
      <c r="Y187" s="108"/>
      <c r="Z187" s="101"/>
      <c r="AA187" s="101"/>
      <c r="AB187" s="101"/>
      <c r="AC187" s="101"/>
      <c r="AD187" s="101"/>
      <c r="AE187" s="101"/>
    </row>
    <row r="188">
      <c r="A188" s="101"/>
      <c r="B188" s="101"/>
      <c r="C188" s="104"/>
      <c r="D188" s="105"/>
      <c r="E188" s="106"/>
      <c r="F188" s="101"/>
      <c r="G188" s="101"/>
      <c r="H188" s="107"/>
      <c r="I188" s="107"/>
      <c r="J188" s="101"/>
      <c r="K188" s="107"/>
      <c r="L188" s="107"/>
      <c r="M188" s="101"/>
      <c r="N188" s="101"/>
      <c r="O188" s="101"/>
      <c r="P188" s="101"/>
      <c r="Q188" s="104"/>
      <c r="R188" s="104"/>
      <c r="S188" s="104"/>
      <c r="T188" s="101"/>
      <c r="U188" s="101"/>
      <c r="V188" s="101"/>
      <c r="W188" s="101"/>
      <c r="X188" s="101"/>
      <c r="Y188" s="108"/>
      <c r="Z188" s="101"/>
      <c r="AA188" s="101"/>
      <c r="AB188" s="101"/>
      <c r="AC188" s="101"/>
      <c r="AD188" s="101"/>
      <c r="AE188" s="101"/>
    </row>
    <row r="189">
      <c r="A189" s="101"/>
      <c r="B189" s="101"/>
      <c r="C189" s="104"/>
      <c r="D189" s="105"/>
      <c r="E189" s="106"/>
      <c r="F189" s="101"/>
      <c r="G189" s="101"/>
      <c r="H189" s="107"/>
      <c r="I189" s="107"/>
      <c r="J189" s="101"/>
      <c r="K189" s="107"/>
      <c r="L189" s="107"/>
      <c r="M189" s="101"/>
      <c r="N189" s="101"/>
      <c r="O189" s="101"/>
      <c r="P189" s="101"/>
      <c r="Q189" s="104"/>
      <c r="R189" s="104"/>
      <c r="S189" s="104"/>
      <c r="T189" s="101"/>
      <c r="U189" s="101"/>
      <c r="V189" s="101"/>
      <c r="W189" s="101"/>
      <c r="X189" s="101"/>
      <c r="Y189" s="108"/>
      <c r="Z189" s="101"/>
      <c r="AA189" s="101"/>
      <c r="AB189" s="101"/>
      <c r="AC189" s="101"/>
      <c r="AD189" s="101"/>
      <c r="AE189" s="101"/>
    </row>
    <row r="190">
      <c r="A190" s="101"/>
      <c r="B190" s="101"/>
      <c r="C190" s="104"/>
      <c r="D190" s="105"/>
      <c r="E190" s="106"/>
      <c r="F190" s="101"/>
      <c r="G190" s="101"/>
      <c r="H190" s="107"/>
      <c r="I190" s="107"/>
      <c r="J190" s="101"/>
      <c r="K190" s="107"/>
      <c r="L190" s="107"/>
      <c r="M190" s="101"/>
      <c r="N190" s="101"/>
      <c r="O190" s="101"/>
      <c r="P190" s="101"/>
      <c r="Q190" s="104"/>
      <c r="R190" s="104"/>
      <c r="S190" s="104"/>
      <c r="T190" s="101"/>
      <c r="U190" s="101"/>
      <c r="V190" s="101"/>
      <c r="W190" s="101"/>
      <c r="X190" s="101"/>
      <c r="Y190" s="108"/>
      <c r="Z190" s="101"/>
      <c r="AA190" s="101"/>
      <c r="AB190" s="101"/>
      <c r="AC190" s="101"/>
      <c r="AD190" s="101"/>
      <c r="AE190" s="101"/>
    </row>
    <row r="191">
      <c r="A191" s="101"/>
      <c r="B191" s="101"/>
      <c r="C191" s="104"/>
      <c r="D191" s="105"/>
      <c r="E191" s="106"/>
      <c r="F191" s="101"/>
      <c r="G191" s="101"/>
      <c r="H191" s="107"/>
      <c r="I191" s="107"/>
      <c r="J191" s="101"/>
      <c r="K191" s="107"/>
      <c r="L191" s="107"/>
      <c r="M191" s="101"/>
      <c r="N191" s="101"/>
      <c r="O191" s="101"/>
      <c r="P191" s="101"/>
      <c r="Q191" s="104"/>
      <c r="R191" s="104"/>
      <c r="S191" s="104"/>
      <c r="T191" s="101"/>
      <c r="U191" s="101"/>
      <c r="V191" s="101"/>
      <c r="W191" s="101"/>
      <c r="X191" s="101"/>
      <c r="Y191" s="108"/>
      <c r="Z191" s="101"/>
      <c r="AA191" s="101"/>
      <c r="AB191" s="101"/>
      <c r="AC191" s="101"/>
      <c r="AD191" s="101"/>
      <c r="AE191" s="101"/>
    </row>
    <row r="192">
      <c r="A192" s="101"/>
      <c r="B192" s="101"/>
      <c r="C192" s="104"/>
      <c r="D192" s="105"/>
      <c r="E192" s="106"/>
      <c r="F192" s="101"/>
      <c r="G192" s="101"/>
      <c r="H192" s="107"/>
      <c r="I192" s="107"/>
      <c r="J192" s="101"/>
      <c r="K192" s="107"/>
      <c r="L192" s="107"/>
      <c r="M192" s="101"/>
      <c r="N192" s="101"/>
      <c r="O192" s="101"/>
      <c r="P192" s="101"/>
      <c r="Q192" s="104"/>
      <c r="R192" s="104"/>
      <c r="S192" s="104"/>
      <c r="T192" s="101"/>
      <c r="U192" s="101"/>
      <c r="V192" s="101"/>
      <c r="W192" s="101"/>
      <c r="X192" s="101"/>
      <c r="Y192" s="108"/>
      <c r="Z192" s="101"/>
      <c r="AA192" s="101"/>
      <c r="AB192" s="101"/>
      <c r="AC192" s="101"/>
      <c r="AD192" s="101"/>
      <c r="AE192" s="101"/>
    </row>
    <row r="193">
      <c r="A193" s="101"/>
      <c r="B193" s="101"/>
      <c r="C193" s="104"/>
      <c r="D193" s="105"/>
      <c r="E193" s="106"/>
      <c r="F193" s="101"/>
      <c r="G193" s="101"/>
      <c r="H193" s="107"/>
      <c r="I193" s="107"/>
      <c r="J193" s="101"/>
      <c r="K193" s="107"/>
      <c r="L193" s="107"/>
      <c r="M193" s="101"/>
      <c r="N193" s="101"/>
      <c r="O193" s="101"/>
      <c r="P193" s="101"/>
      <c r="Q193" s="104"/>
      <c r="R193" s="104"/>
      <c r="S193" s="104"/>
      <c r="T193" s="101"/>
      <c r="U193" s="101"/>
      <c r="V193" s="101"/>
      <c r="W193" s="101"/>
      <c r="X193" s="101"/>
      <c r="Y193" s="108"/>
      <c r="Z193" s="101"/>
      <c r="AA193" s="101"/>
      <c r="AB193" s="101"/>
      <c r="AC193" s="101"/>
      <c r="AD193" s="101"/>
      <c r="AE193" s="101"/>
    </row>
    <row r="194">
      <c r="A194" s="101"/>
      <c r="B194" s="101"/>
      <c r="C194" s="104"/>
      <c r="D194" s="105"/>
      <c r="E194" s="106"/>
      <c r="F194" s="101"/>
      <c r="G194" s="101"/>
      <c r="H194" s="107"/>
      <c r="I194" s="107"/>
      <c r="J194" s="101"/>
      <c r="K194" s="107"/>
      <c r="L194" s="107"/>
      <c r="M194" s="101"/>
      <c r="N194" s="101"/>
      <c r="O194" s="101"/>
      <c r="P194" s="101"/>
      <c r="Q194" s="104"/>
      <c r="R194" s="104"/>
      <c r="S194" s="104"/>
      <c r="T194" s="101"/>
      <c r="U194" s="101"/>
      <c r="V194" s="101"/>
      <c r="W194" s="101"/>
      <c r="X194" s="101"/>
      <c r="Y194" s="108"/>
      <c r="Z194" s="101"/>
      <c r="AA194" s="101"/>
      <c r="AB194" s="101"/>
      <c r="AC194" s="101"/>
      <c r="AD194" s="101"/>
      <c r="AE194" s="101"/>
    </row>
    <row r="195">
      <c r="A195" s="101"/>
      <c r="B195" s="101"/>
      <c r="C195" s="104"/>
      <c r="D195" s="105"/>
      <c r="E195" s="106"/>
      <c r="F195" s="101"/>
      <c r="G195" s="101"/>
      <c r="H195" s="107"/>
      <c r="I195" s="107"/>
      <c r="J195" s="101"/>
      <c r="K195" s="107"/>
      <c r="L195" s="107"/>
      <c r="M195" s="101"/>
      <c r="N195" s="101"/>
      <c r="O195" s="101"/>
      <c r="P195" s="101"/>
      <c r="Q195" s="104"/>
      <c r="R195" s="104"/>
      <c r="S195" s="104"/>
      <c r="T195" s="101"/>
      <c r="U195" s="101"/>
      <c r="V195" s="101"/>
      <c r="W195" s="101"/>
      <c r="X195" s="101"/>
      <c r="Y195" s="108"/>
      <c r="Z195" s="101"/>
      <c r="AA195" s="101"/>
      <c r="AB195" s="101"/>
      <c r="AC195" s="101"/>
      <c r="AD195" s="101"/>
      <c r="AE195" s="101"/>
    </row>
    <row r="196">
      <c r="A196" s="101"/>
      <c r="B196" s="101"/>
      <c r="C196" s="104"/>
      <c r="D196" s="105"/>
      <c r="E196" s="106"/>
      <c r="F196" s="101"/>
      <c r="G196" s="101"/>
      <c r="H196" s="107"/>
      <c r="I196" s="107"/>
      <c r="J196" s="101"/>
      <c r="K196" s="107"/>
      <c r="L196" s="107"/>
      <c r="M196" s="101"/>
      <c r="N196" s="101"/>
      <c r="O196" s="101"/>
      <c r="P196" s="101"/>
      <c r="Q196" s="104"/>
      <c r="R196" s="104"/>
      <c r="S196" s="104"/>
      <c r="T196" s="101"/>
      <c r="U196" s="101"/>
      <c r="V196" s="101"/>
      <c r="W196" s="101"/>
      <c r="X196" s="101"/>
      <c r="Y196" s="108"/>
      <c r="Z196" s="101"/>
      <c r="AA196" s="101"/>
      <c r="AB196" s="101"/>
      <c r="AC196" s="101"/>
      <c r="AD196" s="101"/>
      <c r="AE196" s="101"/>
    </row>
    <row r="197">
      <c r="A197" s="101"/>
      <c r="B197" s="101"/>
      <c r="C197" s="104"/>
      <c r="D197" s="105"/>
      <c r="E197" s="106"/>
      <c r="F197" s="101"/>
      <c r="G197" s="101"/>
      <c r="H197" s="107"/>
      <c r="I197" s="107"/>
      <c r="J197" s="101"/>
      <c r="K197" s="107"/>
      <c r="L197" s="107"/>
      <c r="M197" s="101"/>
      <c r="N197" s="101"/>
      <c r="O197" s="101"/>
      <c r="P197" s="101"/>
      <c r="Q197" s="104"/>
      <c r="R197" s="104"/>
      <c r="S197" s="104"/>
      <c r="T197" s="101"/>
      <c r="U197" s="101"/>
      <c r="V197" s="101"/>
      <c r="W197" s="101"/>
      <c r="X197" s="101"/>
      <c r="Y197" s="108"/>
      <c r="Z197" s="101"/>
      <c r="AA197" s="101"/>
      <c r="AB197" s="101"/>
      <c r="AC197" s="101"/>
      <c r="AD197" s="101"/>
      <c r="AE197" s="101"/>
    </row>
    <row r="198">
      <c r="A198" s="101"/>
      <c r="B198" s="101"/>
      <c r="C198" s="104"/>
      <c r="D198" s="105"/>
      <c r="E198" s="106"/>
      <c r="F198" s="101"/>
      <c r="G198" s="101"/>
      <c r="H198" s="107"/>
      <c r="I198" s="107"/>
      <c r="J198" s="101"/>
      <c r="K198" s="107"/>
      <c r="L198" s="107"/>
      <c r="M198" s="101"/>
      <c r="N198" s="101"/>
      <c r="O198" s="101"/>
      <c r="P198" s="101"/>
      <c r="Q198" s="104"/>
      <c r="R198" s="104"/>
      <c r="S198" s="104"/>
      <c r="T198" s="101"/>
      <c r="U198" s="101"/>
      <c r="V198" s="101"/>
      <c r="W198" s="101"/>
      <c r="X198" s="101"/>
      <c r="Y198" s="108"/>
      <c r="Z198" s="101"/>
      <c r="AA198" s="101"/>
      <c r="AB198" s="101"/>
      <c r="AC198" s="101"/>
      <c r="AD198" s="101"/>
      <c r="AE198" s="101"/>
    </row>
    <row r="199">
      <c r="A199" s="101"/>
      <c r="B199" s="101"/>
      <c r="C199" s="104"/>
      <c r="D199" s="105"/>
      <c r="E199" s="106"/>
      <c r="F199" s="101"/>
      <c r="G199" s="101"/>
      <c r="H199" s="107"/>
      <c r="I199" s="107"/>
      <c r="J199" s="101"/>
      <c r="K199" s="107"/>
      <c r="L199" s="107"/>
      <c r="M199" s="101"/>
      <c r="N199" s="101"/>
      <c r="O199" s="101"/>
      <c r="P199" s="101"/>
      <c r="Q199" s="104"/>
      <c r="R199" s="104"/>
      <c r="S199" s="104"/>
      <c r="T199" s="101"/>
      <c r="U199" s="101"/>
      <c r="V199" s="101"/>
      <c r="W199" s="101"/>
      <c r="X199" s="101"/>
      <c r="Y199" s="108"/>
      <c r="Z199" s="101"/>
      <c r="AA199" s="101"/>
      <c r="AB199" s="101"/>
      <c r="AC199" s="101"/>
      <c r="AD199" s="101"/>
      <c r="AE199" s="101"/>
    </row>
    <row r="200">
      <c r="A200" s="101"/>
      <c r="B200" s="101"/>
      <c r="C200" s="104"/>
      <c r="D200" s="105"/>
      <c r="E200" s="106"/>
      <c r="F200" s="101"/>
      <c r="G200" s="101"/>
      <c r="H200" s="107"/>
      <c r="I200" s="107"/>
      <c r="J200" s="101"/>
      <c r="K200" s="107"/>
      <c r="L200" s="107"/>
      <c r="M200" s="101"/>
      <c r="N200" s="101"/>
      <c r="O200" s="101"/>
      <c r="P200" s="101"/>
      <c r="Q200" s="104"/>
      <c r="R200" s="104"/>
      <c r="S200" s="104"/>
      <c r="T200" s="101"/>
      <c r="U200" s="101"/>
      <c r="V200" s="101"/>
      <c r="W200" s="101"/>
      <c r="X200" s="101"/>
      <c r="Y200" s="108"/>
      <c r="Z200" s="101"/>
      <c r="AA200" s="101"/>
      <c r="AB200" s="101"/>
      <c r="AC200" s="101"/>
      <c r="AD200" s="101"/>
      <c r="AE200" s="101"/>
    </row>
    <row r="201">
      <c r="A201" s="101"/>
      <c r="B201" s="101"/>
      <c r="C201" s="104"/>
      <c r="D201" s="105"/>
      <c r="E201" s="106"/>
      <c r="F201" s="101"/>
      <c r="G201" s="101"/>
      <c r="H201" s="107"/>
      <c r="I201" s="107"/>
      <c r="J201" s="101"/>
      <c r="K201" s="107"/>
      <c r="L201" s="107"/>
      <c r="M201" s="101"/>
      <c r="N201" s="101"/>
      <c r="O201" s="101"/>
      <c r="P201" s="101"/>
      <c r="Q201" s="104"/>
      <c r="R201" s="104"/>
      <c r="S201" s="104"/>
      <c r="T201" s="101"/>
      <c r="U201" s="101"/>
      <c r="V201" s="101"/>
      <c r="W201" s="101"/>
      <c r="X201" s="101"/>
      <c r="Y201" s="108"/>
      <c r="Z201" s="101"/>
      <c r="AA201" s="101"/>
      <c r="AB201" s="101"/>
      <c r="AC201" s="101"/>
      <c r="AD201" s="101"/>
      <c r="AE201" s="101"/>
    </row>
    <row r="202">
      <c r="A202" s="101"/>
      <c r="B202" s="101"/>
      <c r="C202" s="104"/>
      <c r="D202" s="105"/>
      <c r="E202" s="106"/>
      <c r="F202" s="101"/>
      <c r="G202" s="101"/>
      <c r="H202" s="107"/>
      <c r="I202" s="107"/>
      <c r="J202" s="101"/>
      <c r="K202" s="107"/>
      <c r="L202" s="107"/>
      <c r="M202" s="101"/>
      <c r="N202" s="101"/>
      <c r="O202" s="101"/>
      <c r="P202" s="101"/>
      <c r="Q202" s="104"/>
      <c r="R202" s="104"/>
      <c r="S202" s="104"/>
      <c r="T202" s="101"/>
      <c r="U202" s="101"/>
      <c r="V202" s="101"/>
      <c r="W202" s="101"/>
      <c r="X202" s="101"/>
      <c r="Y202" s="108"/>
      <c r="Z202" s="101"/>
      <c r="AA202" s="101"/>
      <c r="AB202" s="101"/>
      <c r="AC202" s="101"/>
      <c r="AD202" s="101"/>
      <c r="AE202" s="101"/>
    </row>
    <row r="203">
      <c r="A203" s="101"/>
      <c r="B203" s="101"/>
      <c r="C203" s="104"/>
      <c r="D203" s="105"/>
      <c r="E203" s="106"/>
      <c r="F203" s="101"/>
      <c r="G203" s="101"/>
      <c r="H203" s="107"/>
      <c r="I203" s="107"/>
      <c r="J203" s="101"/>
      <c r="K203" s="107"/>
      <c r="L203" s="107"/>
      <c r="M203" s="101"/>
      <c r="N203" s="101"/>
      <c r="O203" s="101"/>
      <c r="P203" s="101"/>
      <c r="Q203" s="104"/>
      <c r="R203" s="104"/>
      <c r="S203" s="104"/>
      <c r="T203" s="101"/>
      <c r="U203" s="101"/>
      <c r="V203" s="101"/>
      <c r="W203" s="101"/>
      <c r="X203" s="101"/>
      <c r="Y203" s="108"/>
      <c r="Z203" s="101"/>
      <c r="AA203" s="101"/>
      <c r="AB203" s="101"/>
      <c r="AC203" s="101"/>
      <c r="AD203" s="101"/>
      <c r="AE203" s="101"/>
    </row>
    <row r="204">
      <c r="A204" s="101"/>
      <c r="B204" s="101"/>
      <c r="C204" s="104"/>
      <c r="D204" s="105"/>
      <c r="E204" s="106"/>
      <c r="F204" s="101"/>
      <c r="G204" s="101"/>
      <c r="H204" s="107"/>
      <c r="I204" s="107"/>
      <c r="J204" s="101"/>
      <c r="K204" s="107"/>
      <c r="L204" s="107"/>
      <c r="M204" s="101"/>
      <c r="N204" s="101"/>
      <c r="O204" s="101"/>
      <c r="P204" s="101"/>
      <c r="Q204" s="104"/>
      <c r="R204" s="104"/>
      <c r="S204" s="104"/>
      <c r="T204" s="101"/>
      <c r="U204" s="101"/>
      <c r="V204" s="101"/>
      <c r="W204" s="101"/>
      <c r="X204" s="101"/>
      <c r="Y204" s="108"/>
      <c r="Z204" s="101"/>
      <c r="AA204" s="101"/>
      <c r="AB204" s="101"/>
      <c r="AC204" s="101"/>
      <c r="AD204" s="101"/>
      <c r="AE204" s="101"/>
    </row>
    <row r="205">
      <c r="A205" s="101"/>
      <c r="B205" s="101"/>
      <c r="C205" s="104"/>
      <c r="D205" s="105"/>
      <c r="E205" s="106"/>
      <c r="F205" s="101"/>
      <c r="G205" s="101"/>
      <c r="H205" s="107"/>
      <c r="I205" s="107"/>
      <c r="J205" s="101"/>
      <c r="K205" s="107"/>
      <c r="L205" s="107"/>
      <c r="M205" s="101"/>
      <c r="N205" s="101"/>
      <c r="O205" s="101"/>
      <c r="P205" s="101"/>
      <c r="Q205" s="104"/>
      <c r="R205" s="104"/>
      <c r="S205" s="104"/>
      <c r="T205" s="101"/>
      <c r="U205" s="101"/>
      <c r="V205" s="101"/>
      <c r="W205" s="101"/>
      <c r="X205" s="101"/>
      <c r="Y205" s="108"/>
      <c r="Z205" s="101"/>
      <c r="AA205" s="101"/>
      <c r="AB205" s="101"/>
      <c r="AC205" s="101"/>
      <c r="AD205" s="101"/>
      <c r="AE205" s="101"/>
    </row>
    <row r="206">
      <c r="A206" s="101"/>
      <c r="B206" s="101"/>
      <c r="C206" s="104"/>
      <c r="D206" s="105"/>
      <c r="E206" s="106"/>
      <c r="F206" s="101"/>
      <c r="G206" s="101"/>
      <c r="H206" s="107"/>
      <c r="I206" s="107"/>
      <c r="J206" s="101"/>
      <c r="K206" s="107"/>
      <c r="L206" s="107"/>
      <c r="M206" s="101"/>
      <c r="N206" s="101"/>
      <c r="O206" s="101"/>
      <c r="P206" s="101"/>
      <c r="Q206" s="104"/>
      <c r="R206" s="104"/>
      <c r="S206" s="104"/>
      <c r="T206" s="101"/>
      <c r="U206" s="101"/>
      <c r="V206" s="101"/>
      <c r="W206" s="101"/>
      <c r="X206" s="101"/>
      <c r="Y206" s="108"/>
      <c r="Z206" s="101"/>
      <c r="AA206" s="101"/>
      <c r="AB206" s="101"/>
      <c r="AC206" s="101"/>
      <c r="AD206" s="101"/>
      <c r="AE206" s="101"/>
    </row>
    <row r="207">
      <c r="A207" s="101"/>
      <c r="B207" s="101"/>
      <c r="C207" s="104"/>
      <c r="D207" s="105"/>
      <c r="E207" s="106"/>
      <c r="F207" s="101"/>
      <c r="G207" s="101"/>
      <c r="H207" s="107"/>
      <c r="I207" s="107"/>
      <c r="J207" s="101"/>
      <c r="K207" s="107"/>
      <c r="L207" s="107"/>
      <c r="M207" s="101"/>
      <c r="N207" s="101"/>
      <c r="O207" s="101"/>
      <c r="P207" s="101"/>
      <c r="Q207" s="104"/>
      <c r="R207" s="104"/>
      <c r="S207" s="104"/>
      <c r="T207" s="101"/>
      <c r="U207" s="101"/>
      <c r="V207" s="101"/>
      <c r="W207" s="101"/>
      <c r="X207" s="101"/>
      <c r="Y207" s="108"/>
      <c r="Z207" s="101"/>
      <c r="AA207" s="101"/>
      <c r="AB207" s="101"/>
      <c r="AC207" s="101"/>
      <c r="AD207" s="101"/>
      <c r="AE207" s="101"/>
    </row>
    <row r="208">
      <c r="A208" s="101"/>
      <c r="B208" s="101"/>
      <c r="C208" s="104"/>
      <c r="D208" s="105"/>
      <c r="E208" s="106"/>
      <c r="F208" s="101"/>
      <c r="G208" s="101"/>
      <c r="H208" s="107"/>
      <c r="I208" s="107"/>
      <c r="J208" s="101"/>
      <c r="K208" s="107"/>
      <c r="L208" s="107"/>
      <c r="M208" s="101"/>
      <c r="N208" s="101"/>
      <c r="O208" s="101"/>
      <c r="P208" s="101"/>
      <c r="Q208" s="104"/>
      <c r="R208" s="104"/>
      <c r="S208" s="104"/>
      <c r="T208" s="101"/>
      <c r="U208" s="101"/>
      <c r="V208" s="101"/>
      <c r="W208" s="101"/>
      <c r="X208" s="101"/>
      <c r="Y208" s="108"/>
      <c r="Z208" s="101"/>
      <c r="AA208" s="101"/>
      <c r="AB208" s="101"/>
      <c r="AC208" s="101"/>
      <c r="AD208" s="101"/>
      <c r="AE208" s="101"/>
    </row>
    <row r="209">
      <c r="A209" s="101"/>
      <c r="B209" s="101"/>
      <c r="C209" s="104"/>
      <c r="D209" s="105"/>
      <c r="E209" s="106"/>
      <c r="F209" s="101"/>
      <c r="G209" s="101"/>
      <c r="H209" s="107"/>
      <c r="I209" s="107"/>
      <c r="J209" s="101"/>
      <c r="K209" s="107"/>
      <c r="L209" s="107"/>
      <c r="M209" s="101"/>
      <c r="N209" s="101"/>
      <c r="O209" s="101"/>
      <c r="P209" s="101"/>
      <c r="Q209" s="104"/>
      <c r="R209" s="104"/>
      <c r="S209" s="104"/>
      <c r="T209" s="101"/>
      <c r="U209" s="101"/>
      <c r="V209" s="101"/>
      <c r="W209" s="101"/>
      <c r="X209" s="101"/>
      <c r="Y209" s="108"/>
      <c r="Z209" s="101"/>
      <c r="AA209" s="101"/>
      <c r="AB209" s="101"/>
      <c r="AC209" s="101"/>
      <c r="AD209" s="101"/>
      <c r="AE209" s="101"/>
    </row>
    <row r="210">
      <c r="A210" s="101"/>
      <c r="B210" s="101"/>
      <c r="C210" s="104"/>
      <c r="D210" s="105"/>
      <c r="E210" s="106"/>
      <c r="F210" s="101"/>
      <c r="G210" s="101"/>
      <c r="H210" s="107"/>
      <c r="I210" s="107"/>
      <c r="J210" s="101"/>
      <c r="K210" s="107"/>
      <c r="L210" s="107"/>
      <c r="M210" s="101"/>
      <c r="N210" s="101"/>
      <c r="O210" s="101"/>
      <c r="P210" s="101"/>
      <c r="Q210" s="104"/>
      <c r="R210" s="104"/>
      <c r="S210" s="104"/>
      <c r="T210" s="101"/>
      <c r="U210" s="101"/>
      <c r="V210" s="101"/>
      <c r="W210" s="101"/>
      <c r="X210" s="101"/>
      <c r="Y210" s="108"/>
      <c r="Z210" s="101"/>
      <c r="AA210" s="101"/>
      <c r="AB210" s="101"/>
      <c r="AC210" s="101"/>
      <c r="AD210" s="101"/>
      <c r="AE210" s="101"/>
    </row>
    <row r="211">
      <c r="A211" s="101"/>
      <c r="B211" s="101"/>
      <c r="C211" s="104"/>
      <c r="D211" s="105"/>
      <c r="E211" s="106"/>
      <c r="F211" s="101"/>
      <c r="G211" s="101"/>
      <c r="H211" s="107"/>
      <c r="I211" s="107"/>
      <c r="J211" s="101"/>
      <c r="K211" s="107"/>
      <c r="L211" s="107"/>
      <c r="M211" s="101"/>
      <c r="N211" s="101"/>
      <c r="O211" s="101"/>
      <c r="P211" s="101"/>
      <c r="Q211" s="104"/>
      <c r="R211" s="104"/>
      <c r="S211" s="104"/>
      <c r="T211" s="101"/>
      <c r="U211" s="101"/>
      <c r="V211" s="101"/>
      <c r="W211" s="101"/>
      <c r="X211" s="101"/>
      <c r="Y211" s="108"/>
      <c r="Z211" s="101"/>
      <c r="AA211" s="101"/>
      <c r="AB211" s="101"/>
      <c r="AC211" s="101"/>
      <c r="AD211" s="101"/>
      <c r="AE211" s="101"/>
    </row>
    <row r="212">
      <c r="A212" s="101"/>
      <c r="B212" s="101"/>
      <c r="C212" s="104"/>
      <c r="D212" s="105"/>
      <c r="E212" s="106"/>
      <c r="F212" s="101"/>
      <c r="G212" s="101"/>
      <c r="H212" s="107"/>
      <c r="I212" s="107"/>
      <c r="J212" s="101"/>
      <c r="K212" s="107"/>
      <c r="L212" s="107"/>
      <c r="M212" s="101"/>
      <c r="N212" s="101"/>
      <c r="O212" s="101"/>
      <c r="P212" s="101"/>
      <c r="Q212" s="104"/>
      <c r="R212" s="104"/>
      <c r="S212" s="104"/>
      <c r="T212" s="101"/>
      <c r="U212" s="101"/>
      <c r="V212" s="101"/>
      <c r="W212" s="101"/>
      <c r="X212" s="101"/>
      <c r="Y212" s="108"/>
      <c r="Z212" s="101"/>
      <c r="AA212" s="101"/>
      <c r="AB212" s="101"/>
      <c r="AC212" s="101"/>
      <c r="AD212" s="101"/>
      <c r="AE212" s="101"/>
    </row>
    <row r="213">
      <c r="A213" s="101"/>
      <c r="B213" s="101"/>
      <c r="C213" s="104"/>
      <c r="D213" s="105"/>
      <c r="E213" s="106"/>
      <c r="F213" s="101"/>
      <c r="G213" s="101"/>
      <c r="H213" s="107"/>
      <c r="I213" s="107"/>
      <c r="J213" s="101"/>
      <c r="K213" s="107"/>
      <c r="L213" s="107"/>
      <c r="M213" s="101"/>
      <c r="N213" s="101"/>
      <c r="O213" s="101"/>
      <c r="P213" s="101"/>
      <c r="Q213" s="104"/>
      <c r="R213" s="104"/>
      <c r="S213" s="104"/>
      <c r="T213" s="101"/>
      <c r="U213" s="101"/>
      <c r="V213" s="101"/>
      <c r="W213" s="101"/>
      <c r="X213" s="101"/>
      <c r="Y213" s="108"/>
      <c r="Z213" s="101"/>
      <c r="AA213" s="101"/>
      <c r="AB213" s="101"/>
      <c r="AC213" s="101"/>
      <c r="AD213" s="101"/>
      <c r="AE213" s="101"/>
    </row>
    <row r="214">
      <c r="A214" s="101"/>
      <c r="B214" s="101"/>
      <c r="C214" s="104"/>
      <c r="D214" s="105"/>
      <c r="E214" s="106"/>
      <c r="F214" s="101"/>
      <c r="G214" s="101"/>
      <c r="H214" s="107"/>
      <c r="I214" s="107"/>
      <c r="J214" s="101"/>
      <c r="K214" s="107"/>
      <c r="L214" s="107"/>
      <c r="M214" s="101"/>
      <c r="N214" s="101"/>
      <c r="O214" s="101"/>
      <c r="P214" s="101"/>
      <c r="Q214" s="104"/>
      <c r="R214" s="104"/>
      <c r="S214" s="104"/>
      <c r="T214" s="101"/>
      <c r="U214" s="101"/>
      <c r="V214" s="101"/>
      <c r="W214" s="101"/>
      <c r="X214" s="101"/>
      <c r="Y214" s="108"/>
      <c r="Z214" s="101"/>
      <c r="AA214" s="101"/>
      <c r="AB214" s="101"/>
      <c r="AC214" s="101"/>
      <c r="AD214" s="101"/>
      <c r="AE214" s="101"/>
    </row>
    <row r="215">
      <c r="A215" s="101"/>
      <c r="B215" s="101"/>
      <c r="C215" s="104"/>
      <c r="D215" s="105"/>
      <c r="E215" s="106"/>
      <c r="F215" s="101"/>
      <c r="G215" s="101"/>
      <c r="H215" s="107"/>
      <c r="I215" s="107"/>
      <c r="J215" s="101"/>
      <c r="K215" s="107"/>
      <c r="L215" s="107"/>
      <c r="M215" s="101"/>
      <c r="N215" s="101"/>
      <c r="O215" s="101"/>
      <c r="P215" s="101"/>
      <c r="Q215" s="104"/>
      <c r="R215" s="104"/>
      <c r="S215" s="104"/>
      <c r="T215" s="101"/>
      <c r="U215" s="101"/>
      <c r="V215" s="101"/>
      <c r="W215" s="101"/>
      <c r="X215" s="101"/>
      <c r="Y215" s="108"/>
      <c r="Z215" s="101"/>
      <c r="AA215" s="101"/>
      <c r="AB215" s="101"/>
      <c r="AC215" s="101"/>
      <c r="AD215" s="101"/>
      <c r="AE215" s="101"/>
    </row>
    <row r="216">
      <c r="A216" s="101"/>
      <c r="B216" s="101"/>
      <c r="C216" s="104"/>
      <c r="D216" s="105"/>
      <c r="E216" s="106"/>
      <c r="F216" s="101"/>
      <c r="G216" s="101"/>
      <c r="H216" s="107"/>
      <c r="I216" s="107"/>
      <c r="J216" s="101"/>
      <c r="K216" s="107"/>
      <c r="L216" s="107"/>
      <c r="M216" s="101"/>
      <c r="N216" s="101"/>
      <c r="O216" s="101"/>
      <c r="P216" s="101"/>
      <c r="Q216" s="104"/>
      <c r="R216" s="104"/>
      <c r="S216" s="104"/>
      <c r="T216" s="101"/>
      <c r="U216" s="101"/>
      <c r="V216" s="101"/>
      <c r="W216" s="101"/>
      <c r="X216" s="101"/>
      <c r="Y216" s="108"/>
      <c r="Z216" s="101"/>
      <c r="AA216" s="101"/>
      <c r="AB216" s="101"/>
      <c r="AC216" s="101"/>
      <c r="AD216" s="101"/>
      <c r="AE216" s="101"/>
    </row>
    <row r="217">
      <c r="A217" s="101"/>
      <c r="B217" s="101"/>
      <c r="C217" s="104"/>
      <c r="D217" s="105"/>
      <c r="E217" s="106"/>
      <c r="F217" s="101"/>
      <c r="G217" s="101"/>
      <c r="H217" s="107"/>
      <c r="I217" s="107"/>
      <c r="J217" s="101"/>
      <c r="K217" s="107"/>
      <c r="L217" s="107"/>
      <c r="M217" s="101"/>
      <c r="N217" s="101"/>
      <c r="O217" s="101"/>
      <c r="P217" s="101"/>
      <c r="Q217" s="104"/>
      <c r="R217" s="104"/>
      <c r="S217" s="104"/>
      <c r="T217" s="101"/>
      <c r="U217" s="101"/>
      <c r="V217" s="101"/>
      <c r="W217" s="101"/>
      <c r="X217" s="101"/>
      <c r="Y217" s="108"/>
      <c r="Z217" s="101"/>
      <c r="AA217" s="101"/>
      <c r="AB217" s="101"/>
      <c r="AC217" s="101"/>
      <c r="AD217" s="101"/>
      <c r="AE217" s="101"/>
    </row>
    <row r="218">
      <c r="A218" s="101"/>
      <c r="B218" s="101"/>
      <c r="C218" s="104"/>
      <c r="D218" s="105"/>
      <c r="E218" s="106"/>
      <c r="F218" s="101"/>
      <c r="G218" s="101"/>
      <c r="H218" s="107"/>
      <c r="I218" s="107"/>
      <c r="J218" s="101"/>
      <c r="K218" s="107"/>
      <c r="L218" s="107"/>
      <c r="M218" s="101"/>
      <c r="N218" s="101"/>
      <c r="O218" s="101"/>
      <c r="P218" s="101"/>
      <c r="Q218" s="104"/>
      <c r="R218" s="104"/>
      <c r="S218" s="104"/>
      <c r="T218" s="101"/>
      <c r="U218" s="101"/>
      <c r="V218" s="101"/>
      <c r="W218" s="101"/>
      <c r="X218" s="101"/>
      <c r="Y218" s="108"/>
      <c r="Z218" s="101"/>
      <c r="AA218" s="101"/>
      <c r="AB218" s="101"/>
      <c r="AC218" s="101"/>
      <c r="AD218" s="101"/>
      <c r="AE218" s="101"/>
    </row>
    <row r="219">
      <c r="A219" s="101"/>
      <c r="B219" s="101"/>
      <c r="C219" s="104"/>
      <c r="D219" s="105"/>
      <c r="E219" s="106"/>
      <c r="F219" s="101"/>
      <c r="G219" s="101"/>
      <c r="H219" s="107"/>
      <c r="I219" s="107"/>
      <c r="J219" s="101"/>
      <c r="K219" s="107"/>
      <c r="L219" s="107"/>
      <c r="M219" s="101"/>
      <c r="N219" s="101"/>
      <c r="O219" s="101"/>
      <c r="P219" s="101"/>
      <c r="Q219" s="104"/>
      <c r="R219" s="104"/>
      <c r="S219" s="104"/>
      <c r="T219" s="101"/>
      <c r="U219" s="101"/>
      <c r="V219" s="101"/>
      <c r="W219" s="101"/>
      <c r="X219" s="101"/>
      <c r="Y219" s="108"/>
      <c r="Z219" s="101"/>
      <c r="AA219" s="101"/>
      <c r="AB219" s="101"/>
      <c r="AC219" s="101"/>
      <c r="AD219" s="101"/>
      <c r="AE219" s="101"/>
    </row>
    <row r="220">
      <c r="A220" s="101"/>
      <c r="B220" s="101"/>
      <c r="C220" s="104"/>
      <c r="D220" s="105"/>
      <c r="E220" s="106"/>
      <c r="F220" s="101"/>
      <c r="G220" s="101"/>
      <c r="H220" s="107"/>
      <c r="I220" s="107"/>
      <c r="J220" s="101"/>
      <c r="K220" s="107"/>
      <c r="L220" s="107"/>
      <c r="M220" s="101"/>
      <c r="N220" s="101"/>
      <c r="O220" s="101"/>
      <c r="P220" s="101"/>
      <c r="Q220" s="104"/>
      <c r="R220" s="104"/>
      <c r="S220" s="104"/>
      <c r="T220" s="101"/>
      <c r="U220" s="101"/>
      <c r="V220" s="101"/>
      <c r="W220" s="101"/>
      <c r="X220" s="101"/>
      <c r="Y220" s="108"/>
      <c r="Z220" s="101"/>
      <c r="AA220" s="101"/>
      <c r="AB220" s="101"/>
      <c r="AC220" s="101"/>
      <c r="AD220" s="101"/>
      <c r="AE220" s="101"/>
    </row>
    <row r="221">
      <c r="A221" s="101"/>
      <c r="B221" s="101"/>
      <c r="C221" s="104"/>
      <c r="D221" s="105"/>
      <c r="E221" s="106"/>
      <c r="F221" s="101"/>
      <c r="G221" s="101"/>
      <c r="H221" s="107"/>
      <c r="I221" s="107"/>
      <c r="J221" s="101"/>
      <c r="K221" s="107"/>
      <c r="L221" s="107"/>
      <c r="M221" s="101"/>
      <c r="N221" s="101"/>
      <c r="O221" s="101"/>
      <c r="P221" s="101"/>
      <c r="Q221" s="104"/>
      <c r="R221" s="104"/>
      <c r="S221" s="104"/>
      <c r="T221" s="101"/>
      <c r="U221" s="101"/>
      <c r="V221" s="101"/>
      <c r="W221" s="101"/>
      <c r="X221" s="101"/>
      <c r="Y221" s="108"/>
      <c r="Z221" s="101"/>
      <c r="AA221" s="101"/>
      <c r="AB221" s="101"/>
      <c r="AC221" s="101"/>
      <c r="AD221" s="101"/>
      <c r="AE221" s="101"/>
    </row>
    <row r="222">
      <c r="A222" s="101"/>
      <c r="B222" s="101"/>
      <c r="C222" s="104"/>
      <c r="D222" s="105"/>
      <c r="E222" s="106"/>
      <c r="F222" s="101"/>
      <c r="G222" s="101"/>
      <c r="H222" s="107"/>
      <c r="I222" s="107"/>
      <c r="J222" s="101"/>
      <c r="K222" s="107"/>
      <c r="L222" s="107"/>
      <c r="M222" s="101"/>
      <c r="N222" s="101"/>
      <c r="O222" s="101"/>
      <c r="P222" s="101"/>
      <c r="Q222" s="104"/>
      <c r="R222" s="104"/>
      <c r="S222" s="104"/>
      <c r="T222" s="101"/>
      <c r="U222" s="101"/>
      <c r="V222" s="101"/>
      <c r="W222" s="101"/>
      <c r="X222" s="101"/>
      <c r="Y222" s="108"/>
      <c r="Z222" s="101"/>
      <c r="AA222" s="101"/>
      <c r="AB222" s="101"/>
      <c r="AC222" s="101"/>
      <c r="AD222" s="101"/>
      <c r="AE222" s="101"/>
    </row>
    <row r="223">
      <c r="A223" s="101"/>
      <c r="B223" s="101"/>
      <c r="C223" s="104"/>
      <c r="D223" s="105"/>
      <c r="E223" s="106"/>
      <c r="F223" s="101"/>
      <c r="G223" s="101"/>
      <c r="H223" s="107"/>
      <c r="I223" s="107"/>
      <c r="J223" s="101"/>
      <c r="K223" s="107"/>
      <c r="L223" s="107"/>
      <c r="M223" s="101"/>
      <c r="N223" s="101"/>
      <c r="O223" s="101"/>
      <c r="P223" s="101"/>
      <c r="Q223" s="104"/>
      <c r="R223" s="104"/>
      <c r="S223" s="104"/>
      <c r="T223" s="101"/>
      <c r="U223" s="101"/>
      <c r="V223" s="101"/>
      <c r="W223" s="101"/>
      <c r="X223" s="101"/>
      <c r="Y223" s="108"/>
      <c r="Z223" s="101"/>
      <c r="AA223" s="101"/>
      <c r="AB223" s="101"/>
      <c r="AC223" s="101"/>
      <c r="AD223" s="101"/>
      <c r="AE223" s="101"/>
    </row>
    <row r="224">
      <c r="A224" s="101"/>
      <c r="B224" s="101"/>
      <c r="C224" s="104"/>
      <c r="D224" s="105"/>
      <c r="E224" s="106"/>
      <c r="F224" s="101"/>
      <c r="G224" s="101"/>
      <c r="H224" s="107"/>
      <c r="I224" s="107"/>
      <c r="J224" s="101"/>
      <c r="K224" s="107"/>
      <c r="L224" s="107"/>
      <c r="M224" s="101"/>
      <c r="N224" s="101"/>
      <c r="O224" s="101"/>
      <c r="P224" s="101"/>
      <c r="Q224" s="104"/>
      <c r="R224" s="104"/>
      <c r="S224" s="104"/>
      <c r="T224" s="101"/>
      <c r="U224" s="101"/>
      <c r="V224" s="101"/>
      <c r="W224" s="101"/>
      <c r="X224" s="101"/>
      <c r="Y224" s="108"/>
      <c r="Z224" s="101"/>
      <c r="AA224" s="101"/>
      <c r="AB224" s="101"/>
      <c r="AC224" s="101"/>
      <c r="AD224" s="101"/>
      <c r="AE224" s="101"/>
    </row>
    <row r="225">
      <c r="A225" s="101"/>
      <c r="B225" s="101"/>
      <c r="C225" s="104"/>
      <c r="D225" s="105"/>
      <c r="E225" s="106"/>
      <c r="F225" s="101"/>
      <c r="G225" s="101"/>
      <c r="H225" s="107"/>
      <c r="I225" s="107"/>
      <c r="J225" s="101"/>
      <c r="K225" s="107"/>
      <c r="L225" s="107"/>
      <c r="M225" s="101"/>
      <c r="N225" s="101"/>
      <c r="O225" s="101"/>
      <c r="P225" s="101"/>
      <c r="Q225" s="104"/>
      <c r="R225" s="104"/>
      <c r="S225" s="104"/>
      <c r="T225" s="101"/>
      <c r="U225" s="101"/>
      <c r="V225" s="101"/>
      <c r="W225" s="101"/>
      <c r="X225" s="101"/>
      <c r="Y225" s="108"/>
      <c r="Z225" s="101"/>
      <c r="AA225" s="101"/>
      <c r="AB225" s="101"/>
      <c r="AC225" s="101"/>
      <c r="AD225" s="101"/>
      <c r="AE225" s="101"/>
    </row>
    <row r="226">
      <c r="A226" s="101"/>
      <c r="B226" s="101"/>
      <c r="C226" s="104"/>
      <c r="D226" s="105"/>
      <c r="E226" s="106"/>
      <c r="F226" s="101"/>
      <c r="G226" s="101"/>
      <c r="H226" s="107"/>
      <c r="I226" s="107"/>
      <c r="J226" s="101"/>
      <c r="K226" s="107"/>
      <c r="L226" s="107"/>
      <c r="M226" s="101"/>
      <c r="N226" s="101"/>
      <c r="O226" s="101"/>
      <c r="P226" s="101"/>
      <c r="Q226" s="104"/>
      <c r="R226" s="104"/>
      <c r="S226" s="104"/>
      <c r="T226" s="101"/>
      <c r="U226" s="101"/>
      <c r="V226" s="101"/>
      <c r="W226" s="101"/>
      <c r="X226" s="101"/>
      <c r="Y226" s="108"/>
      <c r="Z226" s="101"/>
      <c r="AA226" s="101"/>
      <c r="AB226" s="101"/>
      <c r="AC226" s="101"/>
      <c r="AD226" s="101"/>
      <c r="AE226" s="101"/>
    </row>
    <row r="227">
      <c r="A227" s="101"/>
      <c r="B227" s="101"/>
      <c r="C227" s="104"/>
      <c r="D227" s="105"/>
      <c r="E227" s="106"/>
      <c r="F227" s="101"/>
      <c r="G227" s="101"/>
      <c r="H227" s="107"/>
      <c r="I227" s="107"/>
      <c r="J227" s="101"/>
      <c r="K227" s="107"/>
      <c r="L227" s="107"/>
      <c r="M227" s="101"/>
      <c r="N227" s="101"/>
      <c r="O227" s="101"/>
      <c r="P227" s="101"/>
      <c r="Q227" s="104"/>
      <c r="R227" s="104"/>
      <c r="S227" s="104"/>
      <c r="T227" s="101"/>
      <c r="U227" s="101"/>
      <c r="V227" s="101"/>
      <c r="W227" s="101"/>
      <c r="X227" s="101"/>
      <c r="Y227" s="108"/>
      <c r="Z227" s="101"/>
      <c r="AA227" s="101"/>
      <c r="AB227" s="101"/>
      <c r="AC227" s="101"/>
      <c r="AD227" s="101"/>
      <c r="AE227" s="101"/>
    </row>
    <row r="228">
      <c r="A228" s="101"/>
      <c r="B228" s="101"/>
      <c r="C228" s="104"/>
      <c r="D228" s="105"/>
      <c r="E228" s="106"/>
      <c r="F228" s="101"/>
      <c r="G228" s="101"/>
      <c r="H228" s="107"/>
      <c r="I228" s="107"/>
      <c r="J228" s="101"/>
      <c r="K228" s="107"/>
      <c r="L228" s="107"/>
      <c r="M228" s="101"/>
      <c r="N228" s="101"/>
      <c r="O228" s="101"/>
      <c r="P228" s="101"/>
      <c r="Q228" s="104"/>
      <c r="R228" s="104"/>
      <c r="S228" s="104"/>
      <c r="T228" s="101"/>
      <c r="U228" s="101"/>
      <c r="V228" s="101"/>
      <c r="W228" s="101"/>
      <c r="X228" s="101"/>
      <c r="Y228" s="108"/>
      <c r="Z228" s="101"/>
      <c r="AA228" s="101"/>
      <c r="AB228" s="101"/>
      <c r="AC228" s="101"/>
      <c r="AD228" s="101"/>
      <c r="AE228" s="101"/>
    </row>
    <row r="229">
      <c r="A229" s="101"/>
      <c r="B229" s="101"/>
      <c r="C229" s="104"/>
      <c r="D229" s="105"/>
      <c r="E229" s="106"/>
      <c r="F229" s="101"/>
      <c r="G229" s="101"/>
      <c r="H229" s="107"/>
      <c r="I229" s="107"/>
      <c r="J229" s="101"/>
      <c r="K229" s="107"/>
      <c r="L229" s="107"/>
      <c r="M229" s="101"/>
      <c r="N229" s="101"/>
      <c r="O229" s="101"/>
      <c r="P229" s="101"/>
      <c r="Q229" s="104"/>
      <c r="R229" s="104"/>
      <c r="S229" s="104"/>
      <c r="T229" s="101"/>
      <c r="U229" s="101"/>
      <c r="V229" s="101"/>
      <c r="W229" s="101"/>
      <c r="X229" s="101"/>
      <c r="Y229" s="108"/>
      <c r="Z229" s="101"/>
      <c r="AA229" s="101"/>
      <c r="AB229" s="101"/>
      <c r="AC229" s="101"/>
      <c r="AD229" s="101"/>
      <c r="AE229" s="101"/>
    </row>
    <row r="230">
      <c r="A230" s="101"/>
      <c r="B230" s="101"/>
      <c r="C230" s="104"/>
      <c r="D230" s="105"/>
      <c r="E230" s="106"/>
      <c r="F230" s="101"/>
      <c r="G230" s="101"/>
      <c r="H230" s="107"/>
      <c r="I230" s="107"/>
      <c r="J230" s="101"/>
      <c r="K230" s="107"/>
      <c r="L230" s="107"/>
      <c r="M230" s="101"/>
      <c r="N230" s="101"/>
      <c r="O230" s="101"/>
      <c r="P230" s="101"/>
      <c r="Q230" s="104"/>
      <c r="R230" s="104"/>
      <c r="S230" s="104"/>
      <c r="T230" s="101"/>
      <c r="U230" s="101"/>
      <c r="V230" s="101"/>
      <c r="W230" s="101"/>
      <c r="X230" s="101"/>
      <c r="Y230" s="108"/>
      <c r="Z230" s="101"/>
      <c r="AA230" s="101"/>
      <c r="AB230" s="101"/>
      <c r="AC230" s="101"/>
      <c r="AD230" s="101"/>
      <c r="AE230" s="101"/>
    </row>
    <row r="231">
      <c r="A231" s="101"/>
      <c r="B231" s="101"/>
      <c r="C231" s="104"/>
      <c r="D231" s="105"/>
      <c r="E231" s="106"/>
      <c r="F231" s="101"/>
      <c r="G231" s="101"/>
      <c r="H231" s="107"/>
      <c r="I231" s="107"/>
      <c r="J231" s="101"/>
      <c r="K231" s="107"/>
      <c r="L231" s="107"/>
      <c r="M231" s="101"/>
      <c r="N231" s="101"/>
      <c r="O231" s="101"/>
      <c r="P231" s="101"/>
      <c r="Q231" s="104"/>
      <c r="R231" s="104"/>
      <c r="S231" s="104"/>
      <c r="T231" s="101"/>
      <c r="U231" s="101"/>
      <c r="V231" s="101"/>
      <c r="W231" s="101"/>
      <c r="X231" s="101"/>
      <c r="Y231" s="108"/>
      <c r="Z231" s="101"/>
      <c r="AA231" s="101"/>
      <c r="AB231" s="101"/>
      <c r="AC231" s="101"/>
      <c r="AD231" s="101"/>
      <c r="AE231" s="101"/>
    </row>
    <row r="232">
      <c r="A232" s="101"/>
      <c r="B232" s="101"/>
      <c r="C232" s="104"/>
      <c r="D232" s="105"/>
      <c r="E232" s="106"/>
      <c r="F232" s="101"/>
      <c r="G232" s="101"/>
      <c r="H232" s="107"/>
      <c r="I232" s="107"/>
      <c r="J232" s="101"/>
      <c r="K232" s="107"/>
      <c r="L232" s="107"/>
      <c r="M232" s="101"/>
      <c r="N232" s="101"/>
      <c r="O232" s="101"/>
      <c r="P232" s="101"/>
      <c r="Q232" s="104"/>
      <c r="R232" s="104"/>
      <c r="S232" s="104"/>
      <c r="T232" s="101"/>
      <c r="U232" s="101"/>
      <c r="V232" s="101"/>
      <c r="W232" s="101"/>
      <c r="X232" s="101"/>
      <c r="Y232" s="108"/>
      <c r="Z232" s="101"/>
      <c r="AA232" s="101"/>
      <c r="AB232" s="101"/>
      <c r="AC232" s="101"/>
      <c r="AD232" s="101"/>
      <c r="AE232" s="101"/>
    </row>
    <row r="233">
      <c r="A233" s="101"/>
      <c r="B233" s="101"/>
      <c r="C233" s="104"/>
      <c r="D233" s="105"/>
      <c r="E233" s="106"/>
      <c r="F233" s="101"/>
      <c r="G233" s="101"/>
      <c r="H233" s="107"/>
      <c r="I233" s="107"/>
      <c r="J233" s="101"/>
      <c r="K233" s="107"/>
      <c r="L233" s="107"/>
      <c r="M233" s="101"/>
      <c r="N233" s="101"/>
      <c r="O233" s="101"/>
      <c r="P233" s="101"/>
      <c r="Q233" s="104"/>
      <c r="R233" s="104"/>
      <c r="S233" s="104"/>
      <c r="T233" s="101"/>
      <c r="U233" s="101"/>
      <c r="V233" s="101"/>
      <c r="W233" s="101"/>
      <c r="X233" s="101"/>
      <c r="Y233" s="108"/>
      <c r="Z233" s="101"/>
      <c r="AA233" s="101"/>
      <c r="AB233" s="101"/>
      <c r="AC233" s="101"/>
      <c r="AD233" s="101"/>
      <c r="AE233" s="101"/>
    </row>
    <row r="234">
      <c r="A234" s="101"/>
      <c r="B234" s="101"/>
      <c r="C234" s="104"/>
      <c r="D234" s="105"/>
      <c r="E234" s="106"/>
      <c r="F234" s="101"/>
      <c r="G234" s="101"/>
      <c r="H234" s="107"/>
      <c r="I234" s="107"/>
      <c r="J234" s="101"/>
      <c r="K234" s="107"/>
      <c r="L234" s="107"/>
      <c r="M234" s="101"/>
      <c r="N234" s="101"/>
      <c r="O234" s="101"/>
      <c r="P234" s="101"/>
      <c r="Q234" s="104"/>
      <c r="R234" s="104"/>
      <c r="S234" s="104"/>
      <c r="T234" s="101"/>
      <c r="U234" s="101"/>
      <c r="V234" s="101"/>
      <c r="W234" s="101"/>
      <c r="X234" s="101"/>
      <c r="Y234" s="108"/>
      <c r="Z234" s="101"/>
      <c r="AA234" s="101"/>
      <c r="AB234" s="101"/>
      <c r="AC234" s="101"/>
      <c r="AD234" s="101"/>
      <c r="AE234" s="101"/>
    </row>
    <row r="235">
      <c r="A235" s="101"/>
      <c r="B235" s="101"/>
      <c r="C235" s="104"/>
      <c r="D235" s="105"/>
      <c r="E235" s="106"/>
      <c r="F235" s="101"/>
      <c r="G235" s="101"/>
      <c r="H235" s="107"/>
      <c r="I235" s="107"/>
      <c r="J235" s="101"/>
      <c r="K235" s="107"/>
      <c r="L235" s="107"/>
      <c r="M235" s="101"/>
      <c r="N235" s="101"/>
      <c r="O235" s="101"/>
      <c r="P235" s="101"/>
      <c r="Q235" s="104"/>
      <c r="R235" s="104"/>
      <c r="S235" s="104"/>
      <c r="T235" s="101"/>
      <c r="U235" s="101"/>
      <c r="V235" s="101"/>
      <c r="W235" s="101"/>
      <c r="X235" s="101"/>
      <c r="Y235" s="108"/>
      <c r="Z235" s="101"/>
      <c r="AA235" s="101"/>
      <c r="AB235" s="101"/>
      <c r="AC235" s="101"/>
      <c r="AD235" s="101"/>
      <c r="AE235" s="101"/>
    </row>
    <row r="236">
      <c r="A236" s="101"/>
      <c r="B236" s="101"/>
      <c r="C236" s="104"/>
      <c r="D236" s="105"/>
      <c r="E236" s="106"/>
      <c r="F236" s="101"/>
      <c r="G236" s="101"/>
      <c r="H236" s="107"/>
      <c r="I236" s="107"/>
      <c r="J236" s="101"/>
      <c r="K236" s="107"/>
      <c r="L236" s="107"/>
      <c r="M236" s="101"/>
      <c r="N236" s="101"/>
      <c r="O236" s="101"/>
      <c r="P236" s="101"/>
      <c r="Q236" s="104"/>
      <c r="R236" s="104"/>
      <c r="S236" s="104"/>
      <c r="T236" s="101"/>
      <c r="U236" s="101"/>
      <c r="V236" s="101"/>
      <c r="W236" s="101"/>
      <c r="X236" s="101"/>
      <c r="Y236" s="108"/>
      <c r="Z236" s="101"/>
      <c r="AA236" s="101"/>
      <c r="AB236" s="101"/>
      <c r="AC236" s="101"/>
      <c r="AD236" s="101"/>
      <c r="AE236" s="101"/>
    </row>
    <row r="237">
      <c r="A237" s="101"/>
      <c r="B237" s="101"/>
      <c r="C237" s="104"/>
      <c r="D237" s="105"/>
      <c r="E237" s="106"/>
      <c r="F237" s="101"/>
      <c r="G237" s="101"/>
      <c r="H237" s="107"/>
      <c r="I237" s="107"/>
      <c r="J237" s="101"/>
      <c r="K237" s="107"/>
      <c r="L237" s="107"/>
      <c r="M237" s="101"/>
      <c r="N237" s="101"/>
      <c r="O237" s="101"/>
      <c r="P237" s="101"/>
      <c r="Q237" s="104"/>
      <c r="R237" s="104"/>
      <c r="S237" s="104"/>
      <c r="T237" s="101"/>
      <c r="U237" s="101"/>
      <c r="V237" s="101"/>
      <c r="W237" s="101"/>
      <c r="X237" s="101"/>
      <c r="Y237" s="108"/>
      <c r="Z237" s="101"/>
      <c r="AA237" s="101"/>
      <c r="AB237" s="101"/>
      <c r="AC237" s="101"/>
      <c r="AD237" s="101"/>
      <c r="AE237" s="101"/>
    </row>
    <row r="238">
      <c r="A238" s="101"/>
      <c r="B238" s="101"/>
      <c r="C238" s="104"/>
      <c r="D238" s="105"/>
      <c r="E238" s="106"/>
      <c r="F238" s="101"/>
      <c r="G238" s="101"/>
      <c r="H238" s="107"/>
      <c r="I238" s="107"/>
      <c r="J238" s="101"/>
      <c r="K238" s="107"/>
      <c r="L238" s="107"/>
      <c r="M238" s="101"/>
      <c r="N238" s="101"/>
      <c r="O238" s="101"/>
      <c r="P238" s="101"/>
      <c r="Q238" s="104"/>
      <c r="R238" s="104"/>
      <c r="S238" s="104"/>
      <c r="T238" s="101"/>
      <c r="U238" s="101"/>
      <c r="V238" s="101"/>
      <c r="W238" s="101"/>
      <c r="X238" s="101"/>
      <c r="Y238" s="108"/>
      <c r="Z238" s="101"/>
      <c r="AA238" s="101"/>
      <c r="AB238" s="101"/>
      <c r="AC238" s="101"/>
      <c r="AD238" s="101"/>
      <c r="AE238" s="101"/>
    </row>
    <row r="239">
      <c r="A239" s="101"/>
      <c r="B239" s="101"/>
      <c r="C239" s="104"/>
      <c r="D239" s="105"/>
      <c r="E239" s="106"/>
      <c r="F239" s="101"/>
      <c r="G239" s="101"/>
      <c r="H239" s="107"/>
      <c r="I239" s="107"/>
      <c r="J239" s="101"/>
      <c r="K239" s="107"/>
      <c r="L239" s="107"/>
      <c r="M239" s="101"/>
      <c r="N239" s="101"/>
      <c r="O239" s="101"/>
      <c r="P239" s="101"/>
      <c r="Q239" s="104"/>
      <c r="R239" s="104"/>
      <c r="S239" s="104"/>
      <c r="T239" s="101"/>
      <c r="U239" s="101"/>
      <c r="V239" s="101"/>
      <c r="W239" s="101"/>
      <c r="X239" s="101"/>
      <c r="Y239" s="108"/>
      <c r="Z239" s="101"/>
      <c r="AA239" s="101"/>
      <c r="AB239" s="101"/>
      <c r="AC239" s="101"/>
      <c r="AD239" s="101"/>
      <c r="AE239" s="101"/>
    </row>
    <row r="240">
      <c r="A240" s="101"/>
      <c r="B240" s="101"/>
      <c r="C240" s="104"/>
      <c r="D240" s="105"/>
      <c r="E240" s="106"/>
      <c r="F240" s="101"/>
      <c r="G240" s="101"/>
      <c r="H240" s="107"/>
      <c r="I240" s="107"/>
      <c r="J240" s="101"/>
      <c r="K240" s="107"/>
      <c r="L240" s="107"/>
      <c r="M240" s="101"/>
      <c r="N240" s="101"/>
      <c r="O240" s="101"/>
      <c r="P240" s="101"/>
      <c r="Q240" s="104"/>
      <c r="R240" s="104"/>
      <c r="S240" s="104"/>
      <c r="T240" s="101"/>
      <c r="U240" s="101"/>
      <c r="V240" s="101"/>
      <c r="W240" s="101"/>
      <c r="X240" s="101"/>
      <c r="Y240" s="108"/>
      <c r="Z240" s="101"/>
      <c r="AA240" s="101"/>
      <c r="AB240" s="101"/>
      <c r="AC240" s="101"/>
      <c r="AD240" s="101"/>
      <c r="AE240" s="101"/>
    </row>
    <row r="241">
      <c r="A241" s="101"/>
      <c r="B241" s="101"/>
      <c r="C241" s="104"/>
      <c r="D241" s="105"/>
      <c r="E241" s="106"/>
      <c r="F241" s="101"/>
      <c r="G241" s="101"/>
      <c r="H241" s="107"/>
      <c r="I241" s="107"/>
      <c r="J241" s="101"/>
      <c r="K241" s="107"/>
      <c r="L241" s="107"/>
      <c r="M241" s="101"/>
      <c r="N241" s="101"/>
      <c r="O241" s="101"/>
      <c r="P241" s="101"/>
      <c r="Q241" s="104"/>
      <c r="R241" s="104"/>
      <c r="S241" s="104"/>
      <c r="T241" s="101"/>
      <c r="U241" s="101"/>
      <c r="V241" s="101"/>
      <c r="W241" s="101"/>
      <c r="X241" s="101"/>
      <c r="Y241" s="108"/>
      <c r="Z241" s="101"/>
      <c r="AA241" s="101"/>
      <c r="AB241" s="101"/>
      <c r="AC241" s="101"/>
      <c r="AD241" s="101"/>
      <c r="AE241" s="101"/>
    </row>
    <row r="242">
      <c r="A242" s="101"/>
      <c r="B242" s="101"/>
      <c r="C242" s="104"/>
      <c r="D242" s="105"/>
      <c r="E242" s="106"/>
      <c r="F242" s="101"/>
      <c r="G242" s="101"/>
      <c r="H242" s="107"/>
      <c r="I242" s="107"/>
      <c r="J242" s="101"/>
      <c r="K242" s="107"/>
      <c r="L242" s="107"/>
      <c r="M242" s="101"/>
      <c r="N242" s="101"/>
      <c r="O242" s="101"/>
      <c r="P242" s="101"/>
      <c r="Q242" s="104"/>
      <c r="R242" s="104"/>
      <c r="S242" s="104"/>
      <c r="T242" s="101"/>
      <c r="U242" s="101"/>
      <c r="V242" s="101"/>
      <c r="W242" s="101"/>
      <c r="X242" s="101"/>
      <c r="Y242" s="108"/>
      <c r="Z242" s="101"/>
      <c r="AA242" s="101"/>
      <c r="AB242" s="101"/>
      <c r="AC242" s="101"/>
      <c r="AD242" s="101"/>
      <c r="AE242" s="101"/>
    </row>
    <row r="243">
      <c r="A243" s="101"/>
      <c r="B243" s="101"/>
      <c r="C243" s="104"/>
      <c r="D243" s="105"/>
      <c r="E243" s="106"/>
      <c r="F243" s="101"/>
      <c r="G243" s="101"/>
      <c r="H243" s="107"/>
      <c r="I243" s="107"/>
      <c r="J243" s="101"/>
      <c r="K243" s="107"/>
      <c r="L243" s="107"/>
      <c r="M243" s="101"/>
      <c r="N243" s="101"/>
      <c r="O243" s="101"/>
      <c r="P243" s="101"/>
      <c r="Q243" s="104"/>
      <c r="R243" s="104"/>
      <c r="S243" s="104"/>
      <c r="T243" s="101"/>
      <c r="U243" s="101"/>
      <c r="V243" s="101"/>
      <c r="W243" s="101"/>
      <c r="X243" s="101"/>
      <c r="Y243" s="108"/>
      <c r="Z243" s="101"/>
      <c r="AA243" s="101"/>
      <c r="AB243" s="101"/>
      <c r="AC243" s="101"/>
      <c r="AD243" s="101"/>
      <c r="AE243" s="101"/>
    </row>
    <row r="244">
      <c r="A244" s="101"/>
      <c r="B244" s="101"/>
      <c r="C244" s="104"/>
      <c r="D244" s="105"/>
      <c r="E244" s="106"/>
      <c r="F244" s="101"/>
      <c r="G244" s="101"/>
      <c r="H244" s="107"/>
      <c r="I244" s="107"/>
      <c r="J244" s="101"/>
      <c r="K244" s="107"/>
      <c r="L244" s="107"/>
      <c r="M244" s="101"/>
      <c r="N244" s="101"/>
      <c r="O244" s="101"/>
      <c r="P244" s="101"/>
      <c r="Q244" s="104"/>
      <c r="R244" s="104"/>
      <c r="S244" s="104"/>
      <c r="T244" s="101"/>
      <c r="U244" s="101"/>
      <c r="V244" s="101"/>
      <c r="W244" s="101"/>
      <c r="X244" s="101"/>
      <c r="Y244" s="108"/>
      <c r="Z244" s="101"/>
      <c r="AA244" s="101"/>
      <c r="AB244" s="101"/>
      <c r="AC244" s="101"/>
      <c r="AD244" s="101"/>
      <c r="AE244" s="101"/>
    </row>
    <row r="245">
      <c r="A245" s="101"/>
      <c r="B245" s="101"/>
      <c r="C245" s="104"/>
      <c r="D245" s="105"/>
      <c r="E245" s="106"/>
      <c r="F245" s="101"/>
      <c r="G245" s="101"/>
      <c r="H245" s="107"/>
      <c r="I245" s="107"/>
      <c r="J245" s="101"/>
      <c r="K245" s="107"/>
      <c r="L245" s="107"/>
      <c r="M245" s="101"/>
      <c r="N245" s="101"/>
      <c r="O245" s="101"/>
      <c r="P245" s="101"/>
      <c r="Q245" s="104"/>
      <c r="R245" s="104"/>
      <c r="S245" s="104"/>
      <c r="T245" s="101"/>
      <c r="U245" s="101"/>
      <c r="V245" s="101"/>
      <c r="W245" s="101"/>
      <c r="X245" s="101"/>
      <c r="Y245" s="108"/>
      <c r="Z245" s="101"/>
      <c r="AA245" s="101"/>
      <c r="AB245" s="101"/>
      <c r="AC245" s="101"/>
      <c r="AD245" s="101"/>
      <c r="AE245" s="101"/>
    </row>
    <row r="246">
      <c r="A246" s="101"/>
      <c r="B246" s="101"/>
      <c r="C246" s="104"/>
      <c r="D246" s="105"/>
      <c r="E246" s="106"/>
      <c r="F246" s="101"/>
      <c r="G246" s="101"/>
      <c r="H246" s="107"/>
      <c r="I246" s="107"/>
      <c r="J246" s="101"/>
      <c r="K246" s="107"/>
      <c r="L246" s="107"/>
      <c r="M246" s="101"/>
      <c r="N246" s="101"/>
      <c r="O246" s="101"/>
      <c r="P246" s="101"/>
      <c r="Q246" s="104"/>
      <c r="R246" s="104"/>
      <c r="S246" s="104"/>
      <c r="T246" s="101"/>
      <c r="U246" s="101"/>
      <c r="V246" s="101"/>
      <c r="W246" s="101"/>
      <c r="X246" s="101"/>
      <c r="Y246" s="108"/>
      <c r="Z246" s="101"/>
      <c r="AA246" s="101"/>
      <c r="AB246" s="101"/>
      <c r="AC246" s="101"/>
      <c r="AD246" s="101"/>
      <c r="AE246" s="101"/>
    </row>
    <row r="247">
      <c r="A247" s="101"/>
      <c r="B247" s="101"/>
      <c r="C247" s="104"/>
      <c r="D247" s="105"/>
      <c r="E247" s="106"/>
      <c r="F247" s="101"/>
      <c r="G247" s="101"/>
      <c r="H247" s="107"/>
      <c r="I247" s="107"/>
      <c r="J247" s="101"/>
      <c r="K247" s="107"/>
      <c r="L247" s="107"/>
      <c r="M247" s="101"/>
      <c r="N247" s="101"/>
      <c r="O247" s="101"/>
      <c r="P247" s="101"/>
      <c r="Q247" s="104"/>
      <c r="R247" s="104"/>
      <c r="S247" s="104"/>
      <c r="T247" s="101"/>
      <c r="U247" s="101"/>
      <c r="V247" s="101"/>
      <c r="W247" s="101"/>
      <c r="X247" s="101"/>
      <c r="Y247" s="108"/>
      <c r="Z247" s="101"/>
      <c r="AA247" s="101"/>
      <c r="AB247" s="101"/>
      <c r="AC247" s="101"/>
      <c r="AD247" s="101"/>
      <c r="AE247" s="101"/>
    </row>
    <row r="248">
      <c r="A248" s="101"/>
      <c r="B248" s="101"/>
      <c r="C248" s="104"/>
      <c r="D248" s="105"/>
      <c r="E248" s="106"/>
      <c r="F248" s="101"/>
      <c r="G248" s="101"/>
      <c r="H248" s="107"/>
      <c r="I248" s="107"/>
      <c r="J248" s="101"/>
      <c r="K248" s="107"/>
      <c r="L248" s="107"/>
      <c r="M248" s="101"/>
      <c r="N248" s="101"/>
      <c r="O248" s="101"/>
      <c r="P248" s="101"/>
      <c r="Q248" s="104"/>
      <c r="R248" s="104"/>
      <c r="S248" s="104"/>
      <c r="T248" s="101"/>
      <c r="U248" s="101"/>
      <c r="V248" s="101"/>
      <c r="W248" s="101"/>
      <c r="X248" s="101"/>
      <c r="Y248" s="108"/>
      <c r="Z248" s="101"/>
      <c r="AA248" s="101"/>
      <c r="AB248" s="101"/>
      <c r="AC248" s="101"/>
      <c r="AD248" s="101"/>
      <c r="AE248" s="101"/>
    </row>
    <row r="249">
      <c r="A249" s="101"/>
      <c r="B249" s="101"/>
      <c r="C249" s="104"/>
      <c r="D249" s="105"/>
      <c r="E249" s="106"/>
      <c r="F249" s="101"/>
      <c r="G249" s="101"/>
      <c r="H249" s="107"/>
      <c r="I249" s="107"/>
      <c r="J249" s="101"/>
      <c r="K249" s="107"/>
      <c r="L249" s="107"/>
      <c r="M249" s="101"/>
      <c r="N249" s="101"/>
      <c r="O249" s="101"/>
      <c r="P249" s="101"/>
      <c r="Q249" s="104"/>
      <c r="R249" s="104"/>
      <c r="S249" s="104"/>
      <c r="T249" s="101"/>
      <c r="U249" s="101"/>
      <c r="V249" s="101"/>
      <c r="W249" s="101"/>
      <c r="X249" s="101"/>
      <c r="Y249" s="108"/>
      <c r="Z249" s="101"/>
      <c r="AA249" s="101"/>
      <c r="AB249" s="101"/>
      <c r="AC249" s="101"/>
      <c r="AD249" s="101"/>
      <c r="AE249" s="101"/>
    </row>
    <row r="250">
      <c r="A250" s="101"/>
      <c r="B250" s="101"/>
      <c r="C250" s="104"/>
      <c r="D250" s="105"/>
      <c r="E250" s="106"/>
      <c r="F250" s="101"/>
      <c r="G250" s="101"/>
      <c r="H250" s="107"/>
      <c r="I250" s="107"/>
      <c r="J250" s="101"/>
      <c r="K250" s="107"/>
      <c r="L250" s="107"/>
      <c r="M250" s="101"/>
      <c r="N250" s="101"/>
      <c r="O250" s="101"/>
      <c r="P250" s="101"/>
      <c r="Q250" s="104"/>
      <c r="R250" s="104"/>
      <c r="S250" s="104"/>
      <c r="T250" s="101"/>
      <c r="U250" s="101"/>
      <c r="V250" s="101"/>
      <c r="W250" s="101"/>
      <c r="X250" s="101"/>
      <c r="Y250" s="108"/>
      <c r="Z250" s="101"/>
      <c r="AA250" s="101"/>
      <c r="AB250" s="101"/>
      <c r="AC250" s="101"/>
      <c r="AD250" s="101"/>
      <c r="AE250" s="101"/>
    </row>
    <row r="251">
      <c r="A251" s="101"/>
      <c r="B251" s="101"/>
      <c r="C251" s="104"/>
      <c r="D251" s="105"/>
      <c r="E251" s="106"/>
      <c r="F251" s="101"/>
      <c r="G251" s="101"/>
      <c r="H251" s="107"/>
      <c r="I251" s="107"/>
      <c r="J251" s="101"/>
      <c r="K251" s="107"/>
      <c r="L251" s="107"/>
      <c r="M251" s="101"/>
      <c r="N251" s="101"/>
      <c r="O251" s="101"/>
      <c r="P251" s="101"/>
      <c r="Q251" s="104"/>
      <c r="R251" s="104"/>
      <c r="S251" s="104"/>
      <c r="T251" s="101"/>
      <c r="U251" s="101"/>
      <c r="V251" s="101"/>
      <c r="W251" s="101"/>
      <c r="X251" s="101"/>
      <c r="Y251" s="108"/>
      <c r="Z251" s="101"/>
      <c r="AA251" s="101"/>
      <c r="AB251" s="101"/>
      <c r="AC251" s="101"/>
      <c r="AD251" s="101"/>
      <c r="AE251" s="101"/>
    </row>
    <row r="252">
      <c r="A252" s="101"/>
      <c r="B252" s="101"/>
      <c r="C252" s="104"/>
      <c r="D252" s="105"/>
      <c r="E252" s="106"/>
      <c r="F252" s="101"/>
      <c r="G252" s="101"/>
      <c r="H252" s="107"/>
      <c r="I252" s="107"/>
      <c r="J252" s="101"/>
      <c r="K252" s="107"/>
      <c r="L252" s="107"/>
      <c r="M252" s="101"/>
      <c r="N252" s="101"/>
      <c r="O252" s="101"/>
      <c r="P252" s="101"/>
      <c r="Q252" s="104"/>
      <c r="R252" s="104"/>
      <c r="S252" s="104"/>
      <c r="T252" s="101"/>
      <c r="U252" s="101"/>
      <c r="V252" s="101"/>
      <c r="W252" s="101"/>
      <c r="X252" s="101"/>
      <c r="Y252" s="108"/>
      <c r="Z252" s="101"/>
      <c r="AA252" s="101"/>
      <c r="AB252" s="101"/>
      <c r="AC252" s="101"/>
      <c r="AD252" s="101"/>
      <c r="AE252" s="101"/>
    </row>
    <row r="253">
      <c r="A253" s="101"/>
      <c r="B253" s="101"/>
      <c r="C253" s="104"/>
      <c r="D253" s="105"/>
      <c r="E253" s="106"/>
      <c r="F253" s="101"/>
      <c r="G253" s="101"/>
      <c r="H253" s="107"/>
      <c r="I253" s="107"/>
      <c r="J253" s="101"/>
      <c r="K253" s="107"/>
      <c r="L253" s="107"/>
      <c r="M253" s="101"/>
      <c r="N253" s="101"/>
      <c r="O253" s="101"/>
      <c r="P253" s="101"/>
      <c r="Q253" s="104"/>
      <c r="R253" s="104"/>
      <c r="S253" s="104"/>
      <c r="T253" s="101"/>
      <c r="U253" s="101"/>
      <c r="V253" s="101"/>
      <c r="W253" s="101"/>
      <c r="X253" s="101"/>
      <c r="Y253" s="108"/>
      <c r="Z253" s="101"/>
      <c r="AA253" s="101"/>
      <c r="AB253" s="101"/>
      <c r="AC253" s="101"/>
      <c r="AD253" s="101"/>
      <c r="AE253" s="101"/>
    </row>
    <row r="254">
      <c r="A254" s="101"/>
      <c r="B254" s="101"/>
      <c r="C254" s="104"/>
      <c r="D254" s="105"/>
      <c r="E254" s="106"/>
      <c r="F254" s="101"/>
      <c r="G254" s="101"/>
      <c r="H254" s="107"/>
      <c r="I254" s="107"/>
      <c r="J254" s="101"/>
      <c r="K254" s="107"/>
      <c r="L254" s="107"/>
      <c r="M254" s="101"/>
      <c r="N254" s="101"/>
      <c r="O254" s="101"/>
      <c r="P254" s="101"/>
      <c r="Q254" s="104"/>
      <c r="R254" s="104"/>
      <c r="S254" s="104"/>
      <c r="T254" s="101"/>
      <c r="U254" s="101"/>
      <c r="V254" s="101"/>
      <c r="W254" s="101"/>
      <c r="X254" s="101"/>
      <c r="Y254" s="108"/>
      <c r="Z254" s="101"/>
      <c r="AA254" s="101"/>
      <c r="AB254" s="101"/>
      <c r="AC254" s="101"/>
      <c r="AD254" s="101"/>
      <c r="AE254" s="101"/>
    </row>
    <row r="255">
      <c r="A255" s="101"/>
      <c r="B255" s="101"/>
      <c r="C255" s="104"/>
      <c r="D255" s="105"/>
      <c r="E255" s="106"/>
      <c r="F255" s="101"/>
      <c r="G255" s="101"/>
      <c r="H255" s="107"/>
      <c r="I255" s="107"/>
      <c r="J255" s="101"/>
      <c r="K255" s="107"/>
      <c r="L255" s="107"/>
      <c r="M255" s="101"/>
      <c r="N255" s="101"/>
      <c r="O255" s="101"/>
      <c r="P255" s="101"/>
      <c r="Q255" s="104"/>
      <c r="R255" s="104"/>
      <c r="S255" s="104"/>
      <c r="T255" s="101"/>
      <c r="U255" s="101"/>
      <c r="V255" s="101"/>
      <c r="W255" s="101"/>
      <c r="X255" s="101"/>
      <c r="Y255" s="108"/>
      <c r="Z255" s="101"/>
      <c r="AA255" s="101"/>
      <c r="AB255" s="101"/>
      <c r="AC255" s="101"/>
      <c r="AD255" s="101"/>
      <c r="AE255" s="101"/>
    </row>
    <row r="256">
      <c r="A256" s="101"/>
      <c r="B256" s="101"/>
      <c r="C256" s="104"/>
      <c r="D256" s="105"/>
      <c r="E256" s="106"/>
      <c r="F256" s="101"/>
      <c r="G256" s="101"/>
      <c r="H256" s="107"/>
      <c r="I256" s="107"/>
      <c r="J256" s="101"/>
      <c r="K256" s="107"/>
      <c r="L256" s="107"/>
      <c r="M256" s="101"/>
      <c r="N256" s="101"/>
      <c r="O256" s="101"/>
      <c r="P256" s="101"/>
      <c r="Q256" s="104"/>
      <c r="R256" s="104"/>
      <c r="S256" s="104"/>
      <c r="T256" s="101"/>
      <c r="U256" s="101"/>
      <c r="V256" s="101"/>
      <c r="W256" s="101"/>
      <c r="X256" s="101"/>
      <c r="Y256" s="108"/>
      <c r="Z256" s="101"/>
      <c r="AA256" s="101"/>
      <c r="AB256" s="101"/>
      <c r="AC256" s="101"/>
      <c r="AD256" s="101"/>
      <c r="AE256" s="101"/>
    </row>
    <row r="257">
      <c r="A257" s="101"/>
      <c r="B257" s="101"/>
      <c r="C257" s="104"/>
      <c r="D257" s="105"/>
      <c r="E257" s="106"/>
      <c r="F257" s="101"/>
      <c r="G257" s="101"/>
      <c r="H257" s="107"/>
      <c r="I257" s="107"/>
      <c r="J257" s="101"/>
      <c r="K257" s="107"/>
      <c r="L257" s="107"/>
      <c r="M257" s="101"/>
      <c r="N257" s="101"/>
      <c r="O257" s="101"/>
      <c r="P257" s="101"/>
      <c r="Q257" s="104"/>
      <c r="R257" s="104"/>
      <c r="S257" s="104"/>
      <c r="T257" s="101"/>
      <c r="U257" s="101"/>
      <c r="V257" s="101"/>
      <c r="W257" s="101"/>
      <c r="X257" s="101"/>
      <c r="Y257" s="108"/>
      <c r="Z257" s="101"/>
      <c r="AA257" s="101"/>
      <c r="AB257" s="101"/>
      <c r="AC257" s="101"/>
      <c r="AD257" s="101"/>
      <c r="AE257" s="101"/>
    </row>
    <row r="258">
      <c r="A258" s="101"/>
      <c r="B258" s="101"/>
      <c r="C258" s="104"/>
      <c r="D258" s="105"/>
      <c r="E258" s="106"/>
      <c r="F258" s="101"/>
      <c r="G258" s="101"/>
      <c r="H258" s="107"/>
      <c r="I258" s="107"/>
      <c r="J258" s="101"/>
      <c r="K258" s="107"/>
      <c r="L258" s="107"/>
      <c r="M258" s="101"/>
      <c r="N258" s="101"/>
      <c r="O258" s="101"/>
      <c r="P258" s="101"/>
      <c r="Q258" s="104"/>
      <c r="R258" s="104"/>
      <c r="S258" s="104"/>
      <c r="T258" s="101"/>
      <c r="U258" s="101"/>
      <c r="V258" s="101"/>
      <c r="W258" s="101"/>
      <c r="X258" s="101"/>
      <c r="Y258" s="108"/>
      <c r="Z258" s="101"/>
      <c r="AA258" s="101"/>
      <c r="AB258" s="101"/>
      <c r="AC258" s="101"/>
      <c r="AD258" s="101"/>
      <c r="AE258" s="101"/>
    </row>
    <row r="259">
      <c r="A259" s="101"/>
      <c r="B259" s="101"/>
      <c r="C259" s="104"/>
      <c r="D259" s="105"/>
      <c r="E259" s="106"/>
      <c r="F259" s="101"/>
      <c r="G259" s="101"/>
      <c r="H259" s="107"/>
      <c r="I259" s="107"/>
      <c r="J259" s="101"/>
      <c r="K259" s="107"/>
      <c r="L259" s="107"/>
      <c r="M259" s="101"/>
      <c r="N259" s="101"/>
      <c r="O259" s="101"/>
      <c r="P259" s="101"/>
      <c r="Q259" s="104"/>
      <c r="R259" s="104"/>
      <c r="S259" s="104"/>
      <c r="T259" s="101"/>
      <c r="U259" s="101"/>
      <c r="V259" s="101"/>
      <c r="W259" s="101"/>
      <c r="X259" s="101"/>
      <c r="Y259" s="108"/>
      <c r="Z259" s="101"/>
      <c r="AA259" s="101"/>
      <c r="AB259" s="101"/>
      <c r="AC259" s="101"/>
      <c r="AD259" s="101"/>
      <c r="AE259" s="101"/>
    </row>
    <row r="260">
      <c r="A260" s="101"/>
      <c r="B260" s="101"/>
      <c r="C260" s="104"/>
      <c r="D260" s="105"/>
      <c r="E260" s="106"/>
      <c r="F260" s="101"/>
      <c r="G260" s="101"/>
      <c r="H260" s="107"/>
      <c r="I260" s="107"/>
      <c r="J260" s="101"/>
      <c r="K260" s="107"/>
      <c r="L260" s="107"/>
      <c r="M260" s="101"/>
      <c r="N260" s="101"/>
      <c r="O260" s="101"/>
      <c r="P260" s="101"/>
      <c r="Q260" s="104"/>
      <c r="R260" s="104"/>
      <c r="S260" s="104"/>
      <c r="T260" s="101"/>
      <c r="U260" s="101"/>
      <c r="V260" s="101"/>
      <c r="W260" s="101"/>
      <c r="X260" s="101"/>
      <c r="Y260" s="108"/>
      <c r="Z260" s="101"/>
      <c r="AA260" s="101"/>
      <c r="AB260" s="101"/>
      <c r="AC260" s="101"/>
      <c r="AD260" s="101"/>
      <c r="AE260" s="101"/>
    </row>
    <row r="261">
      <c r="A261" s="101"/>
      <c r="B261" s="101"/>
      <c r="C261" s="104"/>
      <c r="D261" s="105"/>
      <c r="E261" s="106"/>
      <c r="F261" s="101"/>
      <c r="G261" s="101"/>
      <c r="H261" s="107"/>
      <c r="I261" s="107"/>
      <c r="J261" s="101"/>
      <c r="K261" s="107"/>
      <c r="L261" s="107"/>
      <c r="M261" s="101"/>
      <c r="N261" s="101"/>
      <c r="O261" s="101"/>
      <c r="P261" s="101"/>
      <c r="Q261" s="104"/>
      <c r="R261" s="104"/>
      <c r="S261" s="104"/>
      <c r="T261" s="101"/>
      <c r="U261" s="101"/>
      <c r="V261" s="101"/>
      <c r="W261" s="101"/>
      <c r="X261" s="101"/>
      <c r="Y261" s="108"/>
      <c r="Z261" s="101"/>
      <c r="AA261" s="101"/>
      <c r="AB261" s="101"/>
      <c r="AC261" s="101"/>
      <c r="AD261" s="101"/>
      <c r="AE261" s="101"/>
    </row>
    <row r="262">
      <c r="A262" s="101"/>
      <c r="B262" s="101"/>
      <c r="C262" s="104"/>
      <c r="D262" s="105"/>
      <c r="E262" s="106"/>
      <c r="F262" s="101"/>
      <c r="G262" s="101"/>
      <c r="H262" s="107"/>
      <c r="I262" s="107"/>
      <c r="J262" s="101"/>
      <c r="K262" s="107"/>
      <c r="L262" s="107"/>
      <c r="M262" s="101"/>
      <c r="N262" s="101"/>
      <c r="O262" s="101"/>
      <c r="P262" s="101"/>
      <c r="Q262" s="104"/>
      <c r="R262" s="104"/>
      <c r="S262" s="104"/>
      <c r="T262" s="101"/>
      <c r="U262" s="101"/>
      <c r="V262" s="101"/>
      <c r="W262" s="101"/>
      <c r="X262" s="101"/>
      <c r="Y262" s="108"/>
      <c r="Z262" s="101"/>
      <c r="AA262" s="101"/>
      <c r="AB262" s="101"/>
      <c r="AC262" s="101"/>
      <c r="AD262" s="101"/>
      <c r="AE262" s="101"/>
    </row>
    <row r="263">
      <c r="A263" s="101"/>
      <c r="B263" s="101"/>
      <c r="C263" s="104"/>
      <c r="D263" s="105"/>
      <c r="E263" s="106"/>
      <c r="F263" s="101"/>
      <c r="G263" s="101"/>
      <c r="H263" s="107"/>
      <c r="I263" s="107"/>
      <c r="J263" s="101"/>
      <c r="K263" s="107"/>
      <c r="L263" s="107"/>
      <c r="M263" s="101"/>
      <c r="N263" s="101"/>
      <c r="O263" s="101"/>
      <c r="P263" s="101"/>
      <c r="Q263" s="104"/>
      <c r="R263" s="104"/>
      <c r="S263" s="104"/>
      <c r="T263" s="101"/>
      <c r="U263" s="101"/>
      <c r="V263" s="101"/>
      <c r="W263" s="101"/>
      <c r="X263" s="101"/>
      <c r="Y263" s="108"/>
      <c r="Z263" s="101"/>
      <c r="AA263" s="101"/>
      <c r="AB263" s="101"/>
      <c r="AC263" s="101"/>
      <c r="AD263" s="101"/>
      <c r="AE263" s="101"/>
    </row>
    <row r="264">
      <c r="A264" s="101"/>
      <c r="B264" s="101"/>
      <c r="C264" s="104"/>
      <c r="D264" s="105"/>
      <c r="E264" s="106"/>
      <c r="F264" s="101"/>
      <c r="G264" s="101"/>
      <c r="H264" s="107"/>
      <c r="I264" s="107"/>
      <c r="J264" s="101"/>
      <c r="K264" s="107"/>
      <c r="L264" s="107"/>
      <c r="M264" s="101"/>
      <c r="N264" s="101"/>
      <c r="O264" s="101"/>
      <c r="P264" s="101"/>
      <c r="Q264" s="104"/>
      <c r="R264" s="104"/>
      <c r="S264" s="104"/>
      <c r="T264" s="101"/>
      <c r="U264" s="101"/>
      <c r="V264" s="101"/>
      <c r="W264" s="101"/>
      <c r="X264" s="101"/>
      <c r="Y264" s="108"/>
      <c r="Z264" s="101"/>
      <c r="AA264" s="101"/>
      <c r="AB264" s="101"/>
      <c r="AC264" s="101"/>
      <c r="AD264" s="101"/>
      <c r="AE264" s="101"/>
    </row>
    <row r="265">
      <c r="A265" s="101"/>
      <c r="B265" s="101"/>
      <c r="C265" s="104"/>
      <c r="D265" s="105"/>
      <c r="E265" s="106"/>
      <c r="F265" s="101"/>
      <c r="G265" s="101"/>
      <c r="H265" s="107"/>
      <c r="I265" s="107"/>
      <c r="J265" s="101"/>
      <c r="K265" s="107"/>
      <c r="L265" s="107"/>
      <c r="M265" s="101"/>
      <c r="N265" s="101"/>
      <c r="O265" s="101"/>
      <c r="P265" s="101"/>
      <c r="Q265" s="104"/>
      <c r="R265" s="104"/>
      <c r="S265" s="104"/>
      <c r="T265" s="101"/>
      <c r="U265" s="101"/>
      <c r="V265" s="101"/>
      <c r="W265" s="101"/>
      <c r="X265" s="101"/>
      <c r="Y265" s="108"/>
      <c r="Z265" s="101"/>
      <c r="AA265" s="101"/>
      <c r="AB265" s="101"/>
      <c r="AC265" s="101"/>
      <c r="AD265" s="101"/>
      <c r="AE265" s="101"/>
    </row>
    <row r="266">
      <c r="A266" s="101"/>
      <c r="B266" s="101"/>
      <c r="C266" s="104"/>
      <c r="D266" s="105"/>
      <c r="E266" s="106"/>
      <c r="F266" s="101"/>
      <c r="G266" s="101"/>
      <c r="H266" s="107"/>
      <c r="I266" s="107"/>
      <c r="J266" s="101"/>
      <c r="K266" s="107"/>
      <c r="L266" s="107"/>
      <c r="M266" s="101"/>
      <c r="N266" s="101"/>
      <c r="O266" s="101"/>
      <c r="P266" s="101"/>
      <c r="Q266" s="104"/>
      <c r="R266" s="104"/>
      <c r="S266" s="104"/>
      <c r="T266" s="101"/>
      <c r="U266" s="101"/>
      <c r="V266" s="101"/>
      <c r="W266" s="101"/>
      <c r="X266" s="101"/>
      <c r="Y266" s="108"/>
      <c r="Z266" s="101"/>
      <c r="AA266" s="101"/>
      <c r="AB266" s="101"/>
      <c r="AC266" s="101"/>
      <c r="AD266" s="101"/>
      <c r="AE266" s="101"/>
    </row>
    <row r="267">
      <c r="A267" s="101"/>
      <c r="B267" s="101"/>
      <c r="C267" s="104"/>
      <c r="D267" s="105"/>
      <c r="E267" s="106"/>
      <c r="F267" s="101"/>
      <c r="G267" s="101"/>
      <c r="H267" s="107"/>
      <c r="I267" s="107"/>
      <c r="J267" s="101"/>
      <c r="K267" s="107"/>
      <c r="L267" s="107"/>
      <c r="M267" s="101"/>
      <c r="N267" s="101"/>
      <c r="O267" s="101"/>
      <c r="P267" s="101"/>
      <c r="Q267" s="104"/>
      <c r="R267" s="104"/>
      <c r="S267" s="104"/>
      <c r="T267" s="101"/>
      <c r="U267" s="101"/>
      <c r="V267" s="101"/>
      <c r="W267" s="101"/>
      <c r="X267" s="101"/>
      <c r="Y267" s="108"/>
      <c r="Z267" s="101"/>
      <c r="AA267" s="101"/>
      <c r="AB267" s="101"/>
      <c r="AC267" s="101"/>
      <c r="AD267" s="101"/>
      <c r="AE267" s="101"/>
    </row>
    <row r="268">
      <c r="A268" s="101"/>
      <c r="B268" s="101"/>
      <c r="C268" s="104"/>
      <c r="D268" s="105"/>
      <c r="E268" s="106"/>
      <c r="F268" s="101"/>
      <c r="G268" s="101"/>
      <c r="H268" s="107"/>
      <c r="I268" s="107"/>
      <c r="J268" s="101"/>
      <c r="K268" s="107"/>
      <c r="L268" s="107"/>
      <c r="M268" s="101"/>
      <c r="N268" s="101"/>
      <c r="O268" s="101"/>
      <c r="P268" s="101"/>
      <c r="Q268" s="104"/>
      <c r="R268" s="104"/>
      <c r="S268" s="104"/>
      <c r="T268" s="101"/>
      <c r="U268" s="101"/>
      <c r="V268" s="101"/>
      <c r="W268" s="101"/>
      <c r="X268" s="101"/>
      <c r="Y268" s="108"/>
      <c r="Z268" s="101"/>
      <c r="AA268" s="101"/>
      <c r="AB268" s="101"/>
      <c r="AC268" s="101"/>
      <c r="AD268" s="101"/>
      <c r="AE268" s="101"/>
    </row>
    <row r="269">
      <c r="A269" s="101"/>
      <c r="B269" s="101"/>
      <c r="C269" s="104"/>
      <c r="D269" s="105"/>
      <c r="E269" s="106"/>
      <c r="F269" s="101"/>
      <c r="G269" s="101"/>
      <c r="H269" s="107"/>
      <c r="I269" s="107"/>
      <c r="J269" s="101"/>
      <c r="K269" s="107"/>
      <c r="L269" s="107"/>
      <c r="M269" s="101"/>
      <c r="N269" s="101"/>
      <c r="O269" s="101"/>
      <c r="P269" s="101"/>
      <c r="Q269" s="104"/>
      <c r="R269" s="104"/>
      <c r="S269" s="104"/>
      <c r="T269" s="101"/>
      <c r="U269" s="101"/>
      <c r="V269" s="101"/>
      <c r="W269" s="101"/>
      <c r="X269" s="101"/>
      <c r="Y269" s="108"/>
      <c r="Z269" s="101"/>
      <c r="AA269" s="101"/>
      <c r="AB269" s="101"/>
      <c r="AC269" s="101"/>
      <c r="AD269" s="101"/>
      <c r="AE269" s="101"/>
    </row>
    <row r="270">
      <c r="A270" s="101"/>
      <c r="B270" s="101"/>
      <c r="C270" s="104"/>
      <c r="D270" s="105"/>
      <c r="E270" s="106"/>
      <c r="F270" s="101"/>
      <c r="G270" s="101"/>
      <c r="H270" s="107"/>
      <c r="I270" s="107"/>
      <c r="J270" s="101"/>
      <c r="K270" s="107"/>
      <c r="L270" s="107"/>
      <c r="M270" s="101"/>
      <c r="N270" s="101"/>
      <c r="O270" s="101"/>
      <c r="P270" s="101"/>
      <c r="Q270" s="104"/>
      <c r="R270" s="104"/>
      <c r="S270" s="104"/>
      <c r="T270" s="101"/>
      <c r="U270" s="101"/>
      <c r="V270" s="101"/>
      <c r="W270" s="101"/>
      <c r="X270" s="101"/>
      <c r="Y270" s="108"/>
      <c r="Z270" s="101"/>
      <c r="AA270" s="101"/>
      <c r="AB270" s="101"/>
      <c r="AC270" s="101"/>
      <c r="AD270" s="101"/>
      <c r="AE270" s="101"/>
    </row>
    <row r="271">
      <c r="A271" s="101"/>
      <c r="B271" s="101"/>
      <c r="C271" s="104"/>
      <c r="D271" s="105"/>
      <c r="E271" s="106"/>
      <c r="F271" s="101"/>
      <c r="G271" s="101"/>
      <c r="H271" s="107"/>
      <c r="I271" s="107"/>
      <c r="J271" s="101"/>
      <c r="K271" s="107"/>
      <c r="L271" s="107"/>
      <c r="M271" s="101"/>
      <c r="N271" s="101"/>
      <c r="O271" s="101"/>
      <c r="P271" s="101"/>
      <c r="Q271" s="104"/>
      <c r="R271" s="104"/>
      <c r="S271" s="104"/>
      <c r="T271" s="101"/>
      <c r="U271" s="101"/>
      <c r="V271" s="101"/>
      <c r="W271" s="101"/>
      <c r="X271" s="101"/>
      <c r="Y271" s="108"/>
      <c r="Z271" s="101"/>
      <c r="AA271" s="101"/>
      <c r="AB271" s="101"/>
      <c r="AC271" s="101"/>
      <c r="AD271" s="101"/>
      <c r="AE271" s="101"/>
    </row>
    <row r="272">
      <c r="A272" s="101"/>
      <c r="B272" s="101"/>
      <c r="C272" s="104"/>
      <c r="D272" s="105"/>
      <c r="E272" s="106"/>
      <c r="F272" s="101"/>
      <c r="G272" s="101"/>
      <c r="H272" s="107"/>
      <c r="I272" s="107"/>
      <c r="J272" s="101"/>
      <c r="K272" s="107"/>
      <c r="L272" s="107"/>
      <c r="M272" s="101"/>
      <c r="N272" s="101"/>
      <c r="O272" s="101"/>
      <c r="P272" s="101"/>
      <c r="Q272" s="104"/>
      <c r="R272" s="104"/>
      <c r="S272" s="104"/>
      <c r="T272" s="101"/>
      <c r="U272" s="101"/>
      <c r="V272" s="101"/>
      <c r="W272" s="101"/>
      <c r="X272" s="101"/>
      <c r="Y272" s="108"/>
      <c r="Z272" s="101"/>
      <c r="AA272" s="101"/>
      <c r="AB272" s="101"/>
      <c r="AC272" s="101"/>
      <c r="AD272" s="101"/>
      <c r="AE272" s="101"/>
    </row>
    <row r="273">
      <c r="A273" s="101"/>
      <c r="B273" s="101"/>
      <c r="C273" s="104"/>
      <c r="D273" s="105"/>
      <c r="E273" s="106"/>
      <c r="F273" s="101"/>
      <c r="G273" s="101"/>
      <c r="H273" s="107"/>
      <c r="I273" s="107"/>
      <c r="J273" s="101"/>
      <c r="K273" s="107"/>
      <c r="L273" s="107"/>
      <c r="M273" s="101"/>
      <c r="N273" s="101"/>
      <c r="O273" s="101"/>
      <c r="P273" s="101"/>
      <c r="Q273" s="104"/>
      <c r="R273" s="104"/>
      <c r="S273" s="104"/>
      <c r="T273" s="101"/>
      <c r="U273" s="101"/>
      <c r="V273" s="101"/>
      <c r="W273" s="101"/>
      <c r="X273" s="101"/>
      <c r="Y273" s="108"/>
      <c r="Z273" s="101"/>
      <c r="AA273" s="101"/>
      <c r="AB273" s="101"/>
      <c r="AC273" s="101"/>
      <c r="AD273" s="101"/>
      <c r="AE273" s="101"/>
    </row>
    <row r="274">
      <c r="A274" s="101"/>
      <c r="B274" s="101"/>
      <c r="C274" s="104"/>
      <c r="D274" s="105"/>
      <c r="E274" s="106"/>
      <c r="F274" s="101"/>
      <c r="G274" s="101"/>
      <c r="H274" s="107"/>
      <c r="I274" s="107"/>
      <c r="J274" s="101"/>
      <c r="K274" s="107"/>
      <c r="L274" s="107"/>
      <c r="M274" s="101"/>
      <c r="N274" s="101"/>
      <c r="O274" s="101"/>
      <c r="P274" s="101"/>
      <c r="Q274" s="104"/>
      <c r="R274" s="104"/>
      <c r="S274" s="104"/>
      <c r="T274" s="101"/>
      <c r="U274" s="101"/>
      <c r="V274" s="101"/>
      <c r="W274" s="101"/>
      <c r="X274" s="101"/>
      <c r="Y274" s="108"/>
      <c r="Z274" s="101"/>
      <c r="AA274" s="101"/>
      <c r="AB274" s="101"/>
      <c r="AC274" s="101"/>
      <c r="AD274" s="101"/>
      <c r="AE274" s="101"/>
    </row>
    <row r="275">
      <c r="A275" s="101"/>
      <c r="B275" s="101"/>
      <c r="C275" s="104"/>
      <c r="D275" s="105"/>
      <c r="E275" s="106"/>
      <c r="F275" s="101"/>
      <c r="G275" s="101"/>
      <c r="H275" s="107"/>
      <c r="I275" s="107"/>
      <c r="J275" s="101"/>
      <c r="K275" s="107"/>
      <c r="L275" s="107"/>
      <c r="M275" s="101"/>
      <c r="N275" s="101"/>
      <c r="O275" s="101"/>
      <c r="P275" s="101"/>
      <c r="Q275" s="104"/>
      <c r="R275" s="104"/>
      <c r="S275" s="104"/>
      <c r="T275" s="101"/>
      <c r="U275" s="101"/>
      <c r="V275" s="101"/>
      <c r="W275" s="101"/>
      <c r="X275" s="101"/>
      <c r="Y275" s="108"/>
      <c r="Z275" s="101"/>
      <c r="AA275" s="101"/>
      <c r="AB275" s="101"/>
      <c r="AC275" s="101"/>
      <c r="AD275" s="101"/>
      <c r="AE275" s="101"/>
    </row>
    <row r="276">
      <c r="A276" s="101"/>
      <c r="B276" s="101"/>
      <c r="C276" s="104"/>
      <c r="D276" s="105"/>
      <c r="E276" s="106"/>
      <c r="F276" s="101"/>
      <c r="G276" s="101"/>
      <c r="H276" s="107"/>
      <c r="I276" s="107"/>
      <c r="J276" s="101"/>
      <c r="K276" s="107"/>
      <c r="L276" s="107"/>
      <c r="M276" s="101"/>
      <c r="N276" s="101"/>
      <c r="O276" s="101"/>
      <c r="P276" s="101"/>
      <c r="Q276" s="104"/>
      <c r="R276" s="104"/>
      <c r="S276" s="104"/>
      <c r="T276" s="101"/>
      <c r="U276" s="101"/>
      <c r="V276" s="101"/>
      <c r="W276" s="101"/>
      <c r="X276" s="101"/>
      <c r="Y276" s="108"/>
      <c r="Z276" s="101"/>
      <c r="AA276" s="101"/>
      <c r="AB276" s="101"/>
      <c r="AC276" s="101"/>
      <c r="AD276" s="101"/>
      <c r="AE276" s="101"/>
    </row>
    <row r="277">
      <c r="A277" s="101"/>
      <c r="B277" s="101"/>
      <c r="C277" s="104"/>
      <c r="D277" s="105"/>
      <c r="E277" s="106"/>
      <c r="F277" s="101"/>
      <c r="G277" s="101"/>
      <c r="H277" s="107"/>
      <c r="I277" s="107"/>
      <c r="J277" s="101"/>
      <c r="K277" s="107"/>
      <c r="L277" s="107"/>
      <c r="M277" s="101"/>
      <c r="N277" s="101"/>
      <c r="O277" s="101"/>
      <c r="P277" s="101"/>
      <c r="Q277" s="104"/>
      <c r="R277" s="104"/>
      <c r="S277" s="104"/>
      <c r="T277" s="101"/>
      <c r="U277" s="101"/>
      <c r="V277" s="101"/>
      <c r="W277" s="101"/>
      <c r="X277" s="101"/>
      <c r="Y277" s="108"/>
      <c r="Z277" s="101"/>
      <c r="AA277" s="101"/>
      <c r="AB277" s="101"/>
      <c r="AC277" s="101"/>
      <c r="AD277" s="101"/>
      <c r="AE277" s="101"/>
    </row>
    <row r="278">
      <c r="A278" s="101"/>
      <c r="B278" s="101"/>
      <c r="C278" s="104"/>
      <c r="D278" s="105"/>
      <c r="E278" s="106"/>
      <c r="F278" s="101"/>
      <c r="G278" s="101"/>
      <c r="H278" s="107"/>
      <c r="I278" s="107"/>
      <c r="J278" s="101"/>
      <c r="K278" s="107"/>
      <c r="L278" s="107"/>
      <c r="M278" s="101"/>
      <c r="N278" s="101"/>
      <c r="O278" s="101"/>
      <c r="P278" s="101"/>
      <c r="Q278" s="104"/>
      <c r="R278" s="104"/>
      <c r="S278" s="104"/>
      <c r="T278" s="101"/>
      <c r="U278" s="101"/>
      <c r="V278" s="101"/>
      <c r="W278" s="101"/>
      <c r="X278" s="101"/>
      <c r="Y278" s="108"/>
      <c r="Z278" s="101"/>
      <c r="AA278" s="101"/>
      <c r="AB278" s="101"/>
      <c r="AC278" s="101"/>
      <c r="AD278" s="101"/>
      <c r="AE278" s="101"/>
    </row>
    <row r="279">
      <c r="A279" s="101"/>
      <c r="B279" s="101"/>
      <c r="C279" s="104"/>
      <c r="D279" s="105"/>
      <c r="E279" s="106"/>
      <c r="F279" s="101"/>
      <c r="G279" s="101"/>
      <c r="H279" s="107"/>
      <c r="I279" s="107"/>
      <c r="J279" s="101"/>
      <c r="K279" s="107"/>
      <c r="L279" s="107"/>
      <c r="M279" s="101"/>
      <c r="N279" s="101"/>
      <c r="O279" s="101"/>
      <c r="P279" s="101"/>
      <c r="Q279" s="104"/>
      <c r="R279" s="104"/>
      <c r="S279" s="104"/>
      <c r="T279" s="101"/>
      <c r="U279" s="101"/>
      <c r="V279" s="101"/>
      <c r="W279" s="101"/>
      <c r="X279" s="101"/>
      <c r="Y279" s="108"/>
      <c r="Z279" s="101"/>
      <c r="AA279" s="101"/>
      <c r="AB279" s="101"/>
      <c r="AC279" s="101"/>
      <c r="AD279" s="101"/>
      <c r="AE279" s="101"/>
    </row>
    <row r="280">
      <c r="A280" s="101"/>
      <c r="B280" s="101"/>
      <c r="C280" s="104"/>
      <c r="D280" s="105"/>
      <c r="E280" s="106"/>
      <c r="F280" s="101"/>
      <c r="G280" s="101"/>
      <c r="H280" s="107"/>
      <c r="I280" s="107"/>
      <c r="J280" s="101"/>
      <c r="K280" s="107"/>
      <c r="L280" s="107"/>
      <c r="M280" s="101"/>
      <c r="N280" s="101"/>
      <c r="O280" s="101"/>
      <c r="P280" s="101"/>
      <c r="Q280" s="104"/>
      <c r="R280" s="104"/>
      <c r="S280" s="104"/>
      <c r="T280" s="101"/>
      <c r="U280" s="101"/>
      <c r="V280" s="101"/>
      <c r="W280" s="101"/>
      <c r="X280" s="101"/>
      <c r="Y280" s="108"/>
      <c r="Z280" s="101"/>
      <c r="AA280" s="101"/>
      <c r="AB280" s="101"/>
      <c r="AC280" s="101"/>
      <c r="AD280" s="101"/>
      <c r="AE280" s="101"/>
    </row>
    <row r="281">
      <c r="A281" s="101"/>
      <c r="B281" s="101"/>
      <c r="C281" s="104"/>
      <c r="D281" s="105"/>
      <c r="E281" s="106"/>
      <c r="F281" s="101"/>
      <c r="G281" s="101"/>
      <c r="H281" s="107"/>
      <c r="I281" s="107"/>
      <c r="J281" s="101"/>
      <c r="K281" s="107"/>
      <c r="L281" s="107"/>
      <c r="M281" s="101"/>
      <c r="N281" s="101"/>
      <c r="O281" s="101"/>
      <c r="P281" s="101"/>
      <c r="Q281" s="104"/>
      <c r="R281" s="104"/>
      <c r="S281" s="104"/>
      <c r="T281" s="101"/>
      <c r="U281" s="101"/>
      <c r="V281" s="101"/>
      <c r="W281" s="101"/>
      <c r="X281" s="101"/>
      <c r="Y281" s="108"/>
      <c r="Z281" s="101"/>
      <c r="AA281" s="101"/>
      <c r="AB281" s="101"/>
      <c r="AC281" s="101"/>
      <c r="AD281" s="101"/>
      <c r="AE281" s="101"/>
    </row>
    <row r="282">
      <c r="A282" s="101"/>
      <c r="B282" s="101"/>
      <c r="C282" s="104"/>
      <c r="D282" s="105"/>
      <c r="E282" s="106"/>
      <c r="F282" s="101"/>
      <c r="G282" s="101"/>
      <c r="H282" s="107"/>
      <c r="I282" s="107"/>
      <c r="J282" s="101"/>
      <c r="K282" s="107"/>
      <c r="L282" s="107"/>
      <c r="M282" s="101"/>
      <c r="N282" s="101"/>
      <c r="O282" s="101"/>
      <c r="P282" s="101"/>
      <c r="Q282" s="104"/>
      <c r="R282" s="104"/>
      <c r="S282" s="104"/>
      <c r="T282" s="101"/>
      <c r="U282" s="101"/>
      <c r="V282" s="101"/>
      <c r="W282" s="101"/>
      <c r="X282" s="101"/>
      <c r="Y282" s="108"/>
      <c r="Z282" s="101"/>
      <c r="AA282" s="101"/>
      <c r="AB282" s="101"/>
      <c r="AC282" s="101"/>
      <c r="AD282" s="101"/>
      <c r="AE282" s="101"/>
    </row>
    <row r="283">
      <c r="A283" s="101"/>
      <c r="B283" s="101"/>
      <c r="C283" s="104"/>
      <c r="D283" s="105"/>
      <c r="E283" s="106"/>
      <c r="F283" s="101"/>
      <c r="G283" s="101"/>
      <c r="H283" s="107"/>
      <c r="I283" s="107"/>
      <c r="J283" s="101"/>
      <c r="K283" s="107"/>
      <c r="L283" s="107"/>
      <c r="M283" s="101"/>
      <c r="N283" s="101"/>
      <c r="O283" s="101"/>
      <c r="P283" s="101"/>
      <c r="Q283" s="104"/>
      <c r="R283" s="104"/>
      <c r="S283" s="104"/>
      <c r="T283" s="101"/>
      <c r="U283" s="101"/>
      <c r="V283" s="101"/>
      <c r="W283" s="101"/>
      <c r="X283" s="101"/>
      <c r="Y283" s="108"/>
      <c r="Z283" s="101"/>
      <c r="AA283" s="101"/>
      <c r="AB283" s="101"/>
      <c r="AC283" s="101"/>
      <c r="AD283" s="101"/>
      <c r="AE283" s="101"/>
    </row>
    <row r="284">
      <c r="A284" s="101"/>
      <c r="B284" s="101"/>
      <c r="C284" s="104"/>
      <c r="D284" s="105"/>
      <c r="E284" s="106"/>
      <c r="F284" s="101"/>
      <c r="G284" s="101"/>
      <c r="H284" s="107"/>
      <c r="I284" s="107"/>
      <c r="J284" s="101"/>
      <c r="K284" s="107"/>
      <c r="L284" s="107"/>
      <c r="M284" s="101"/>
      <c r="N284" s="101"/>
      <c r="O284" s="101"/>
      <c r="P284" s="101"/>
      <c r="Q284" s="104"/>
      <c r="R284" s="104"/>
      <c r="S284" s="104"/>
      <c r="T284" s="101"/>
      <c r="U284" s="101"/>
      <c r="V284" s="101"/>
      <c r="W284" s="101"/>
      <c r="X284" s="101"/>
      <c r="Y284" s="108"/>
      <c r="Z284" s="101"/>
      <c r="AA284" s="101"/>
      <c r="AB284" s="101"/>
      <c r="AC284" s="101"/>
      <c r="AD284" s="101"/>
      <c r="AE284" s="101"/>
    </row>
    <row r="285">
      <c r="A285" s="101"/>
      <c r="B285" s="101"/>
      <c r="C285" s="104"/>
      <c r="D285" s="105"/>
      <c r="E285" s="106"/>
      <c r="F285" s="101"/>
      <c r="G285" s="101"/>
      <c r="H285" s="107"/>
      <c r="I285" s="107"/>
      <c r="J285" s="101"/>
      <c r="K285" s="107"/>
      <c r="L285" s="107"/>
      <c r="M285" s="101"/>
      <c r="N285" s="101"/>
      <c r="O285" s="101"/>
      <c r="P285" s="101"/>
      <c r="Q285" s="104"/>
      <c r="R285" s="104"/>
      <c r="S285" s="104"/>
      <c r="T285" s="101"/>
      <c r="U285" s="101"/>
      <c r="V285" s="101"/>
      <c r="W285" s="101"/>
      <c r="X285" s="101"/>
      <c r="Y285" s="108"/>
      <c r="Z285" s="101"/>
      <c r="AA285" s="101"/>
      <c r="AB285" s="101"/>
      <c r="AC285" s="101"/>
      <c r="AD285" s="101"/>
      <c r="AE285" s="101"/>
    </row>
    <row r="286">
      <c r="A286" s="101"/>
      <c r="B286" s="101"/>
      <c r="C286" s="104"/>
      <c r="D286" s="105"/>
      <c r="E286" s="106"/>
      <c r="F286" s="101"/>
      <c r="G286" s="101"/>
      <c r="H286" s="107"/>
      <c r="I286" s="107"/>
      <c r="J286" s="101"/>
      <c r="K286" s="107"/>
      <c r="L286" s="107"/>
      <c r="M286" s="101"/>
      <c r="N286" s="101"/>
      <c r="O286" s="101"/>
      <c r="P286" s="101"/>
      <c r="Q286" s="104"/>
      <c r="R286" s="104"/>
      <c r="S286" s="104"/>
      <c r="T286" s="101"/>
      <c r="U286" s="101"/>
      <c r="V286" s="101"/>
      <c r="W286" s="101"/>
      <c r="X286" s="101"/>
      <c r="Y286" s="108"/>
      <c r="Z286" s="101"/>
      <c r="AA286" s="101"/>
      <c r="AB286" s="101"/>
      <c r="AC286" s="101"/>
      <c r="AD286" s="101"/>
      <c r="AE286" s="101"/>
    </row>
    <row r="287">
      <c r="A287" s="101"/>
      <c r="B287" s="101"/>
      <c r="C287" s="104"/>
      <c r="D287" s="105"/>
      <c r="E287" s="106"/>
      <c r="F287" s="101"/>
      <c r="G287" s="101"/>
      <c r="H287" s="107"/>
      <c r="I287" s="107"/>
      <c r="J287" s="101"/>
      <c r="K287" s="107"/>
      <c r="L287" s="107"/>
      <c r="M287" s="101"/>
      <c r="N287" s="101"/>
      <c r="O287" s="101"/>
      <c r="P287" s="101"/>
      <c r="Q287" s="104"/>
      <c r="R287" s="104"/>
      <c r="S287" s="104"/>
      <c r="T287" s="101"/>
      <c r="U287" s="101"/>
      <c r="V287" s="101"/>
      <c r="W287" s="101"/>
      <c r="X287" s="101"/>
      <c r="Y287" s="108"/>
      <c r="Z287" s="101"/>
      <c r="AA287" s="101"/>
      <c r="AB287" s="101"/>
      <c r="AC287" s="101"/>
      <c r="AD287" s="101"/>
      <c r="AE287" s="101"/>
    </row>
    <row r="288">
      <c r="A288" s="101"/>
      <c r="B288" s="101"/>
      <c r="C288" s="104"/>
      <c r="D288" s="105"/>
      <c r="E288" s="106"/>
      <c r="F288" s="101"/>
      <c r="G288" s="101"/>
      <c r="H288" s="107"/>
      <c r="I288" s="107"/>
      <c r="J288" s="101"/>
      <c r="K288" s="107"/>
      <c r="L288" s="107"/>
      <c r="M288" s="101"/>
      <c r="N288" s="101"/>
      <c r="O288" s="101"/>
      <c r="P288" s="101"/>
      <c r="Q288" s="104"/>
      <c r="R288" s="104"/>
      <c r="S288" s="104"/>
      <c r="T288" s="101"/>
      <c r="U288" s="101"/>
      <c r="V288" s="101"/>
      <c r="W288" s="101"/>
      <c r="X288" s="101"/>
      <c r="Y288" s="108"/>
      <c r="Z288" s="101"/>
      <c r="AA288" s="101"/>
      <c r="AB288" s="101"/>
      <c r="AC288" s="101"/>
      <c r="AD288" s="101"/>
      <c r="AE288" s="101"/>
    </row>
    <row r="289">
      <c r="A289" s="101"/>
      <c r="B289" s="101"/>
      <c r="C289" s="104"/>
      <c r="D289" s="105"/>
      <c r="E289" s="106"/>
      <c r="F289" s="101"/>
      <c r="G289" s="101"/>
      <c r="H289" s="107"/>
      <c r="I289" s="107"/>
      <c r="J289" s="101"/>
      <c r="K289" s="107"/>
      <c r="L289" s="107"/>
      <c r="M289" s="101"/>
      <c r="N289" s="101"/>
      <c r="O289" s="101"/>
      <c r="P289" s="101"/>
      <c r="Q289" s="104"/>
      <c r="R289" s="104"/>
      <c r="S289" s="104"/>
      <c r="T289" s="101"/>
      <c r="U289" s="101"/>
      <c r="V289" s="101"/>
      <c r="W289" s="101"/>
      <c r="X289" s="101"/>
      <c r="Y289" s="108"/>
      <c r="Z289" s="101"/>
      <c r="AA289" s="101"/>
      <c r="AB289" s="101"/>
      <c r="AC289" s="101"/>
      <c r="AD289" s="101"/>
      <c r="AE289" s="101"/>
    </row>
    <row r="290">
      <c r="A290" s="101"/>
      <c r="B290" s="101"/>
      <c r="C290" s="104"/>
      <c r="D290" s="105"/>
      <c r="E290" s="106"/>
      <c r="F290" s="101"/>
      <c r="G290" s="101"/>
      <c r="H290" s="107"/>
      <c r="I290" s="107"/>
      <c r="J290" s="101"/>
      <c r="K290" s="107"/>
      <c r="L290" s="107"/>
      <c r="M290" s="101"/>
      <c r="N290" s="101"/>
      <c r="O290" s="101"/>
      <c r="P290" s="101"/>
      <c r="Q290" s="104"/>
      <c r="R290" s="104"/>
      <c r="S290" s="104"/>
      <c r="T290" s="101"/>
      <c r="U290" s="101"/>
      <c r="V290" s="101"/>
      <c r="W290" s="101"/>
      <c r="X290" s="101"/>
      <c r="Y290" s="108"/>
      <c r="Z290" s="101"/>
      <c r="AA290" s="101"/>
      <c r="AB290" s="101"/>
      <c r="AC290" s="101"/>
      <c r="AD290" s="101"/>
      <c r="AE290" s="101"/>
    </row>
    <row r="291">
      <c r="A291" s="101"/>
      <c r="B291" s="101"/>
      <c r="C291" s="104"/>
      <c r="D291" s="105"/>
      <c r="E291" s="106"/>
      <c r="F291" s="101"/>
      <c r="G291" s="101"/>
      <c r="H291" s="107"/>
      <c r="I291" s="107"/>
      <c r="J291" s="101"/>
      <c r="K291" s="107"/>
      <c r="L291" s="107"/>
      <c r="M291" s="101"/>
      <c r="N291" s="101"/>
      <c r="O291" s="101"/>
      <c r="P291" s="101"/>
      <c r="Q291" s="104"/>
      <c r="R291" s="104"/>
      <c r="S291" s="104"/>
      <c r="T291" s="101"/>
      <c r="U291" s="101"/>
      <c r="V291" s="101"/>
      <c r="W291" s="101"/>
      <c r="X291" s="101"/>
      <c r="Y291" s="108"/>
      <c r="Z291" s="101"/>
      <c r="AA291" s="101"/>
      <c r="AB291" s="101"/>
      <c r="AC291" s="101"/>
      <c r="AD291" s="101"/>
      <c r="AE291" s="101"/>
    </row>
    <row r="292">
      <c r="A292" s="101"/>
      <c r="B292" s="101"/>
      <c r="C292" s="104"/>
      <c r="D292" s="105"/>
      <c r="E292" s="106"/>
      <c r="F292" s="101"/>
      <c r="G292" s="101"/>
      <c r="H292" s="107"/>
      <c r="I292" s="107"/>
      <c r="J292" s="101"/>
      <c r="K292" s="107"/>
      <c r="L292" s="107"/>
      <c r="M292" s="101"/>
      <c r="N292" s="101"/>
      <c r="O292" s="101"/>
      <c r="P292" s="101"/>
      <c r="Q292" s="104"/>
      <c r="R292" s="104"/>
      <c r="S292" s="104"/>
      <c r="T292" s="101"/>
      <c r="U292" s="101"/>
      <c r="V292" s="101"/>
      <c r="W292" s="101"/>
      <c r="X292" s="101"/>
      <c r="Y292" s="108"/>
      <c r="Z292" s="101"/>
      <c r="AA292" s="101"/>
      <c r="AB292" s="101"/>
      <c r="AC292" s="101"/>
      <c r="AD292" s="101"/>
      <c r="AE292" s="101"/>
    </row>
    <row r="293">
      <c r="A293" s="101"/>
      <c r="B293" s="101"/>
      <c r="C293" s="104"/>
      <c r="D293" s="105"/>
      <c r="E293" s="106"/>
      <c r="F293" s="101"/>
      <c r="G293" s="101"/>
      <c r="H293" s="107"/>
      <c r="I293" s="107"/>
      <c r="J293" s="101"/>
      <c r="K293" s="107"/>
      <c r="L293" s="107"/>
      <c r="M293" s="101"/>
      <c r="N293" s="101"/>
      <c r="O293" s="101"/>
      <c r="P293" s="101"/>
      <c r="Q293" s="104"/>
      <c r="R293" s="104"/>
      <c r="S293" s="104"/>
      <c r="T293" s="101"/>
      <c r="U293" s="101"/>
      <c r="V293" s="101"/>
      <c r="W293" s="101"/>
      <c r="X293" s="101"/>
      <c r="Y293" s="108"/>
      <c r="Z293" s="101"/>
      <c r="AA293" s="101"/>
      <c r="AB293" s="101"/>
      <c r="AC293" s="101"/>
      <c r="AD293" s="101"/>
      <c r="AE293" s="101"/>
    </row>
    <row r="294">
      <c r="A294" s="101"/>
      <c r="B294" s="101"/>
      <c r="C294" s="104"/>
      <c r="D294" s="105"/>
      <c r="E294" s="106"/>
      <c r="F294" s="101"/>
      <c r="G294" s="101"/>
      <c r="H294" s="107"/>
      <c r="I294" s="107"/>
      <c r="J294" s="101"/>
      <c r="K294" s="107"/>
      <c r="L294" s="107"/>
      <c r="M294" s="101"/>
      <c r="N294" s="101"/>
      <c r="O294" s="101"/>
      <c r="P294" s="101"/>
      <c r="Q294" s="104"/>
      <c r="R294" s="104"/>
      <c r="S294" s="104"/>
      <c r="T294" s="101"/>
      <c r="U294" s="101"/>
      <c r="V294" s="101"/>
      <c r="W294" s="101"/>
      <c r="X294" s="101"/>
      <c r="Y294" s="108"/>
      <c r="Z294" s="101"/>
      <c r="AA294" s="101"/>
      <c r="AB294" s="101"/>
      <c r="AC294" s="101"/>
      <c r="AD294" s="101"/>
      <c r="AE294" s="101"/>
    </row>
    <row r="295">
      <c r="A295" s="101"/>
      <c r="B295" s="101"/>
      <c r="C295" s="104"/>
      <c r="D295" s="105"/>
      <c r="E295" s="106"/>
      <c r="F295" s="101"/>
      <c r="G295" s="101"/>
      <c r="H295" s="107"/>
      <c r="I295" s="107"/>
      <c r="J295" s="101"/>
      <c r="K295" s="107"/>
      <c r="L295" s="107"/>
      <c r="M295" s="101"/>
      <c r="N295" s="101"/>
      <c r="O295" s="101"/>
      <c r="P295" s="101"/>
      <c r="Q295" s="104"/>
      <c r="R295" s="104"/>
      <c r="S295" s="104"/>
      <c r="T295" s="101"/>
      <c r="U295" s="101"/>
      <c r="V295" s="101"/>
      <c r="W295" s="101"/>
      <c r="X295" s="101"/>
      <c r="Y295" s="108"/>
      <c r="Z295" s="101"/>
      <c r="AA295" s="101"/>
      <c r="AB295" s="101"/>
      <c r="AC295" s="101"/>
      <c r="AD295" s="101"/>
      <c r="AE295" s="101"/>
    </row>
    <row r="296">
      <c r="A296" s="101"/>
      <c r="B296" s="101"/>
      <c r="C296" s="104"/>
      <c r="D296" s="105"/>
      <c r="E296" s="106"/>
      <c r="F296" s="101"/>
      <c r="G296" s="101"/>
      <c r="H296" s="107"/>
      <c r="I296" s="107"/>
      <c r="J296" s="101"/>
      <c r="K296" s="107"/>
      <c r="L296" s="107"/>
      <c r="M296" s="101"/>
      <c r="N296" s="101"/>
      <c r="O296" s="101"/>
      <c r="P296" s="101"/>
      <c r="Q296" s="104"/>
      <c r="R296" s="104"/>
      <c r="S296" s="104"/>
      <c r="T296" s="101"/>
      <c r="U296" s="101"/>
      <c r="V296" s="101"/>
      <c r="W296" s="101"/>
      <c r="X296" s="101"/>
      <c r="Y296" s="108"/>
      <c r="Z296" s="101"/>
      <c r="AA296" s="101"/>
      <c r="AB296" s="101"/>
      <c r="AC296" s="101"/>
      <c r="AD296" s="101"/>
      <c r="AE296" s="101"/>
    </row>
    <row r="297">
      <c r="A297" s="101"/>
      <c r="B297" s="101"/>
      <c r="C297" s="104"/>
      <c r="D297" s="105"/>
      <c r="E297" s="106"/>
      <c r="F297" s="101"/>
      <c r="G297" s="101"/>
      <c r="H297" s="107"/>
      <c r="I297" s="107"/>
      <c r="J297" s="101"/>
      <c r="K297" s="107"/>
      <c r="L297" s="107"/>
      <c r="M297" s="101"/>
      <c r="N297" s="101"/>
      <c r="O297" s="101"/>
      <c r="P297" s="101"/>
      <c r="Q297" s="104"/>
      <c r="R297" s="104"/>
      <c r="S297" s="104"/>
      <c r="T297" s="101"/>
      <c r="U297" s="101"/>
      <c r="V297" s="101"/>
      <c r="W297" s="101"/>
      <c r="X297" s="101"/>
      <c r="Y297" s="108"/>
      <c r="Z297" s="101"/>
      <c r="AA297" s="101"/>
      <c r="AB297" s="101"/>
      <c r="AC297" s="101"/>
      <c r="AD297" s="101"/>
      <c r="AE297" s="101"/>
    </row>
    <row r="298">
      <c r="A298" s="101"/>
      <c r="B298" s="101"/>
      <c r="C298" s="104"/>
      <c r="D298" s="105"/>
      <c r="E298" s="106"/>
      <c r="F298" s="101"/>
      <c r="G298" s="101"/>
      <c r="H298" s="107"/>
      <c r="I298" s="107"/>
      <c r="J298" s="101"/>
      <c r="K298" s="107"/>
      <c r="L298" s="107"/>
      <c r="M298" s="101"/>
      <c r="N298" s="101"/>
      <c r="O298" s="101"/>
      <c r="P298" s="101"/>
      <c r="Q298" s="104"/>
      <c r="R298" s="104"/>
      <c r="S298" s="104"/>
      <c r="T298" s="101"/>
      <c r="U298" s="101"/>
      <c r="V298" s="101"/>
      <c r="W298" s="101"/>
      <c r="X298" s="101"/>
      <c r="Y298" s="108"/>
      <c r="Z298" s="101"/>
      <c r="AA298" s="101"/>
      <c r="AB298" s="101"/>
      <c r="AC298" s="101"/>
      <c r="AD298" s="101"/>
      <c r="AE298" s="101"/>
    </row>
    <row r="299">
      <c r="A299" s="101"/>
      <c r="B299" s="101"/>
      <c r="C299" s="104"/>
      <c r="D299" s="105"/>
      <c r="E299" s="106"/>
      <c r="F299" s="101"/>
      <c r="G299" s="101"/>
      <c r="H299" s="107"/>
      <c r="I299" s="107"/>
      <c r="J299" s="101"/>
      <c r="K299" s="107"/>
      <c r="L299" s="107"/>
      <c r="M299" s="101"/>
      <c r="N299" s="101"/>
      <c r="O299" s="101"/>
      <c r="P299" s="101"/>
      <c r="Q299" s="104"/>
      <c r="R299" s="104"/>
      <c r="S299" s="104"/>
      <c r="T299" s="101"/>
      <c r="U299" s="101"/>
      <c r="V299" s="101"/>
      <c r="W299" s="101"/>
      <c r="X299" s="101"/>
      <c r="Y299" s="108"/>
      <c r="Z299" s="101"/>
      <c r="AA299" s="101"/>
      <c r="AB299" s="101"/>
      <c r="AC299" s="101"/>
      <c r="AD299" s="101"/>
      <c r="AE299" s="101"/>
    </row>
    <row r="300">
      <c r="A300" s="101"/>
      <c r="B300" s="101"/>
      <c r="C300" s="104"/>
      <c r="D300" s="105"/>
      <c r="E300" s="106"/>
      <c r="F300" s="101"/>
      <c r="G300" s="101"/>
      <c r="H300" s="107"/>
      <c r="I300" s="107"/>
      <c r="J300" s="101"/>
      <c r="K300" s="107"/>
      <c r="L300" s="107"/>
      <c r="M300" s="101"/>
      <c r="N300" s="101"/>
      <c r="O300" s="101"/>
      <c r="P300" s="101"/>
      <c r="Q300" s="104"/>
      <c r="R300" s="104"/>
      <c r="S300" s="104"/>
      <c r="T300" s="101"/>
      <c r="U300" s="101"/>
      <c r="V300" s="101"/>
      <c r="W300" s="101"/>
      <c r="X300" s="101"/>
      <c r="Y300" s="108"/>
      <c r="Z300" s="101"/>
      <c r="AA300" s="101"/>
      <c r="AB300" s="101"/>
      <c r="AC300" s="101"/>
      <c r="AD300" s="101"/>
      <c r="AE300" s="101"/>
    </row>
    <row r="301">
      <c r="A301" s="101"/>
      <c r="B301" s="101"/>
      <c r="C301" s="104"/>
      <c r="D301" s="105"/>
      <c r="E301" s="106"/>
      <c r="F301" s="101"/>
      <c r="G301" s="101"/>
      <c r="H301" s="107"/>
      <c r="I301" s="107"/>
      <c r="J301" s="101"/>
      <c r="K301" s="107"/>
      <c r="L301" s="107"/>
      <c r="M301" s="101"/>
      <c r="N301" s="101"/>
      <c r="O301" s="101"/>
      <c r="P301" s="101"/>
      <c r="Q301" s="104"/>
      <c r="R301" s="104"/>
      <c r="S301" s="104"/>
      <c r="T301" s="101"/>
      <c r="U301" s="101"/>
      <c r="V301" s="101"/>
      <c r="W301" s="101"/>
      <c r="X301" s="101"/>
      <c r="Y301" s="108"/>
      <c r="Z301" s="101"/>
      <c r="AA301" s="101"/>
      <c r="AB301" s="101"/>
      <c r="AC301" s="101"/>
      <c r="AD301" s="101"/>
      <c r="AE301" s="101"/>
    </row>
    <row r="302">
      <c r="A302" s="101"/>
      <c r="B302" s="101"/>
      <c r="C302" s="104"/>
      <c r="D302" s="105"/>
      <c r="E302" s="106"/>
      <c r="F302" s="101"/>
      <c r="G302" s="101"/>
      <c r="H302" s="107"/>
      <c r="I302" s="107"/>
      <c r="J302" s="101"/>
      <c r="K302" s="107"/>
      <c r="L302" s="107"/>
      <c r="M302" s="101"/>
      <c r="N302" s="101"/>
      <c r="O302" s="101"/>
      <c r="P302" s="101"/>
      <c r="Q302" s="104"/>
      <c r="R302" s="104"/>
      <c r="S302" s="104"/>
      <c r="T302" s="101"/>
      <c r="U302" s="101"/>
      <c r="V302" s="101"/>
      <c r="W302" s="101"/>
      <c r="X302" s="101"/>
      <c r="Y302" s="108"/>
      <c r="Z302" s="101"/>
      <c r="AA302" s="101"/>
      <c r="AB302" s="101"/>
      <c r="AC302" s="101"/>
      <c r="AD302" s="101"/>
      <c r="AE302" s="101"/>
    </row>
    <row r="303">
      <c r="A303" s="101"/>
      <c r="B303" s="101"/>
      <c r="C303" s="104"/>
      <c r="D303" s="105"/>
      <c r="E303" s="106"/>
      <c r="F303" s="101"/>
      <c r="G303" s="101"/>
      <c r="H303" s="107"/>
      <c r="I303" s="107"/>
      <c r="J303" s="101"/>
      <c r="K303" s="107"/>
      <c r="L303" s="107"/>
      <c r="M303" s="101"/>
      <c r="N303" s="101"/>
      <c r="O303" s="101"/>
      <c r="P303" s="101"/>
      <c r="Q303" s="104"/>
      <c r="R303" s="104"/>
      <c r="S303" s="104"/>
      <c r="T303" s="101"/>
      <c r="U303" s="101"/>
      <c r="V303" s="101"/>
      <c r="W303" s="101"/>
      <c r="X303" s="101"/>
      <c r="Y303" s="108"/>
      <c r="Z303" s="101"/>
      <c r="AA303" s="101"/>
      <c r="AB303" s="101"/>
      <c r="AC303" s="101"/>
      <c r="AD303" s="101"/>
      <c r="AE303" s="101"/>
    </row>
    <row r="304">
      <c r="A304" s="101"/>
      <c r="B304" s="101"/>
      <c r="C304" s="104"/>
      <c r="D304" s="105"/>
      <c r="E304" s="106"/>
      <c r="F304" s="101"/>
      <c r="G304" s="101"/>
      <c r="H304" s="107"/>
      <c r="I304" s="107"/>
      <c r="J304" s="101"/>
      <c r="K304" s="107"/>
      <c r="L304" s="107"/>
      <c r="M304" s="101"/>
      <c r="N304" s="101"/>
      <c r="O304" s="101"/>
      <c r="P304" s="101"/>
      <c r="Q304" s="104"/>
      <c r="R304" s="104"/>
      <c r="S304" s="104"/>
      <c r="T304" s="101"/>
      <c r="U304" s="101"/>
      <c r="V304" s="101"/>
      <c r="W304" s="101"/>
      <c r="X304" s="101"/>
      <c r="Y304" s="108"/>
      <c r="Z304" s="101"/>
      <c r="AA304" s="101"/>
      <c r="AB304" s="101"/>
      <c r="AC304" s="101"/>
      <c r="AD304" s="101"/>
      <c r="AE304" s="101"/>
    </row>
    <row r="305">
      <c r="A305" s="101"/>
      <c r="B305" s="101"/>
      <c r="C305" s="104"/>
      <c r="D305" s="105"/>
      <c r="E305" s="106"/>
      <c r="F305" s="101"/>
      <c r="G305" s="101"/>
      <c r="H305" s="107"/>
      <c r="I305" s="107"/>
      <c r="J305" s="101"/>
      <c r="K305" s="107"/>
      <c r="L305" s="107"/>
      <c r="M305" s="101"/>
      <c r="N305" s="101"/>
      <c r="O305" s="101"/>
      <c r="P305" s="101"/>
      <c r="Q305" s="104"/>
      <c r="R305" s="104"/>
      <c r="S305" s="104"/>
      <c r="T305" s="101"/>
      <c r="U305" s="101"/>
      <c r="V305" s="101"/>
      <c r="W305" s="101"/>
      <c r="X305" s="101"/>
      <c r="Y305" s="108"/>
      <c r="Z305" s="101"/>
      <c r="AA305" s="101"/>
      <c r="AB305" s="101"/>
      <c r="AC305" s="101"/>
      <c r="AD305" s="101"/>
      <c r="AE305" s="101"/>
    </row>
    <row r="306">
      <c r="A306" s="101"/>
      <c r="B306" s="101"/>
      <c r="C306" s="104"/>
      <c r="D306" s="105"/>
      <c r="E306" s="106"/>
      <c r="F306" s="101"/>
      <c r="G306" s="101"/>
      <c r="H306" s="107"/>
      <c r="I306" s="107"/>
      <c r="J306" s="101"/>
      <c r="K306" s="107"/>
      <c r="L306" s="107"/>
      <c r="M306" s="101"/>
      <c r="N306" s="101"/>
      <c r="O306" s="101"/>
      <c r="P306" s="101"/>
      <c r="Q306" s="104"/>
      <c r="R306" s="104"/>
      <c r="S306" s="104"/>
      <c r="T306" s="101"/>
      <c r="U306" s="101"/>
      <c r="V306" s="101"/>
      <c r="W306" s="101"/>
      <c r="X306" s="101"/>
      <c r="Y306" s="108"/>
      <c r="Z306" s="101"/>
      <c r="AA306" s="101"/>
      <c r="AB306" s="101"/>
      <c r="AC306" s="101"/>
      <c r="AD306" s="101"/>
      <c r="AE306" s="101"/>
    </row>
    <row r="307">
      <c r="A307" s="101"/>
      <c r="B307" s="101"/>
      <c r="C307" s="104"/>
      <c r="D307" s="105"/>
      <c r="E307" s="106"/>
      <c r="F307" s="101"/>
      <c r="G307" s="101"/>
      <c r="H307" s="107"/>
      <c r="I307" s="107"/>
      <c r="J307" s="101"/>
      <c r="K307" s="107"/>
      <c r="L307" s="107"/>
      <c r="M307" s="101"/>
      <c r="N307" s="101"/>
      <c r="O307" s="101"/>
      <c r="P307" s="101"/>
      <c r="Q307" s="104"/>
      <c r="R307" s="104"/>
      <c r="S307" s="104"/>
      <c r="T307" s="101"/>
      <c r="U307" s="101"/>
      <c r="V307" s="101"/>
      <c r="W307" s="101"/>
      <c r="X307" s="101"/>
      <c r="Y307" s="108"/>
      <c r="Z307" s="101"/>
      <c r="AA307" s="101"/>
      <c r="AB307" s="101"/>
      <c r="AC307" s="101"/>
      <c r="AD307" s="101"/>
      <c r="AE307" s="101"/>
    </row>
    <row r="308">
      <c r="A308" s="101"/>
      <c r="B308" s="101"/>
      <c r="C308" s="104"/>
      <c r="D308" s="105"/>
      <c r="E308" s="106"/>
      <c r="F308" s="101"/>
      <c r="G308" s="101"/>
      <c r="H308" s="107"/>
      <c r="I308" s="107"/>
      <c r="J308" s="101"/>
      <c r="K308" s="107"/>
      <c r="L308" s="107"/>
      <c r="M308" s="101"/>
      <c r="N308" s="101"/>
      <c r="O308" s="101"/>
      <c r="P308" s="101"/>
      <c r="Q308" s="104"/>
      <c r="R308" s="104"/>
      <c r="S308" s="104"/>
      <c r="T308" s="101"/>
      <c r="U308" s="101"/>
      <c r="V308" s="101"/>
      <c r="W308" s="101"/>
      <c r="X308" s="101"/>
      <c r="Y308" s="108"/>
      <c r="Z308" s="101"/>
      <c r="AA308" s="101"/>
      <c r="AB308" s="101"/>
      <c r="AC308" s="101"/>
      <c r="AD308" s="101"/>
      <c r="AE308" s="101"/>
    </row>
    <row r="309">
      <c r="A309" s="101"/>
      <c r="B309" s="101"/>
      <c r="C309" s="104"/>
      <c r="D309" s="105"/>
      <c r="E309" s="106"/>
      <c r="F309" s="101"/>
      <c r="G309" s="101"/>
      <c r="H309" s="107"/>
      <c r="I309" s="107"/>
      <c r="J309" s="101"/>
      <c r="K309" s="107"/>
      <c r="L309" s="107"/>
      <c r="M309" s="101"/>
      <c r="N309" s="101"/>
      <c r="O309" s="101"/>
      <c r="P309" s="101"/>
      <c r="Q309" s="104"/>
      <c r="R309" s="104"/>
      <c r="S309" s="104"/>
      <c r="T309" s="101"/>
      <c r="U309" s="101"/>
      <c r="V309" s="101"/>
      <c r="W309" s="101"/>
      <c r="X309" s="101"/>
      <c r="Y309" s="108"/>
      <c r="Z309" s="101"/>
      <c r="AA309" s="101"/>
      <c r="AB309" s="101"/>
      <c r="AC309" s="101"/>
      <c r="AD309" s="101"/>
      <c r="AE309" s="101"/>
    </row>
    <row r="310">
      <c r="A310" s="101"/>
      <c r="B310" s="101"/>
      <c r="C310" s="104"/>
      <c r="D310" s="105"/>
      <c r="E310" s="106"/>
      <c r="F310" s="101"/>
      <c r="G310" s="101"/>
      <c r="H310" s="107"/>
      <c r="I310" s="107"/>
      <c r="J310" s="101"/>
      <c r="K310" s="107"/>
      <c r="L310" s="107"/>
      <c r="M310" s="101"/>
      <c r="N310" s="101"/>
      <c r="O310" s="101"/>
      <c r="P310" s="101"/>
      <c r="Q310" s="104"/>
      <c r="R310" s="104"/>
      <c r="S310" s="104"/>
      <c r="T310" s="101"/>
      <c r="U310" s="101"/>
      <c r="V310" s="101"/>
      <c r="W310" s="101"/>
      <c r="X310" s="101"/>
      <c r="Y310" s="108"/>
      <c r="Z310" s="101"/>
      <c r="AA310" s="101"/>
      <c r="AB310" s="101"/>
      <c r="AC310" s="101"/>
      <c r="AD310" s="101"/>
      <c r="AE310" s="101"/>
    </row>
    <row r="311">
      <c r="A311" s="101"/>
      <c r="B311" s="101"/>
      <c r="C311" s="104"/>
      <c r="D311" s="105"/>
      <c r="E311" s="106"/>
      <c r="F311" s="101"/>
      <c r="G311" s="101"/>
      <c r="H311" s="107"/>
      <c r="I311" s="107"/>
      <c r="J311" s="101"/>
      <c r="K311" s="107"/>
      <c r="L311" s="107"/>
      <c r="M311" s="101"/>
      <c r="N311" s="101"/>
      <c r="O311" s="101"/>
      <c r="P311" s="101"/>
      <c r="Q311" s="104"/>
      <c r="R311" s="104"/>
      <c r="S311" s="104"/>
      <c r="T311" s="101"/>
      <c r="U311" s="101"/>
      <c r="V311" s="101"/>
      <c r="W311" s="101"/>
      <c r="X311" s="101"/>
      <c r="Y311" s="108"/>
      <c r="Z311" s="101"/>
      <c r="AA311" s="101"/>
      <c r="AB311" s="101"/>
      <c r="AC311" s="101"/>
      <c r="AD311" s="101"/>
      <c r="AE311" s="101"/>
    </row>
    <row r="312">
      <c r="A312" s="101"/>
      <c r="B312" s="101"/>
      <c r="C312" s="104"/>
      <c r="D312" s="105"/>
      <c r="E312" s="106"/>
      <c r="F312" s="101"/>
      <c r="G312" s="101"/>
      <c r="H312" s="107"/>
      <c r="I312" s="107"/>
      <c r="J312" s="101"/>
      <c r="K312" s="107"/>
      <c r="L312" s="107"/>
      <c r="M312" s="101"/>
      <c r="N312" s="101"/>
      <c r="O312" s="101"/>
      <c r="P312" s="101"/>
      <c r="Q312" s="104"/>
      <c r="R312" s="104"/>
      <c r="S312" s="104"/>
      <c r="T312" s="101"/>
      <c r="U312" s="101"/>
      <c r="V312" s="101"/>
      <c r="W312" s="101"/>
      <c r="X312" s="101"/>
      <c r="Y312" s="108"/>
      <c r="Z312" s="101"/>
      <c r="AA312" s="101"/>
      <c r="AB312" s="101"/>
      <c r="AC312" s="101"/>
      <c r="AD312" s="101"/>
      <c r="AE312" s="101"/>
    </row>
    <row r="313">
      <c r="A313" s="101"/>
      <c r="B313" s="101"/>
      <c r="C313" s="104"/>
      <c r="D313" s="105"/>
      <c r="E313" s="106"/>
      <c r="F313" s="101"/>
      <c r="G313" s="101"/>
      <c r="H313" s="107"/>
      <c r="I313" s="107"/>
      <c r="J313" s="101"/>
      <c r="K313" s="107"/>
      <c r="L313" s="107"/>
      <c r="M313" s="101"/>
      <c r="N313" s="101"/>
      <c r="O313" s="101"/>
      <c r="P313" s="101"/>
      <c r="Q313" s="104"/>
      <c r="R313" s="104"/>
      <c r="S313" s="104"/>
      <c r="T313" s="101"/>
      <c r="U313" s="101"/>
      <c r="V313" s="101"/>
      <c r="W313" s="101"/>
      <c r="X313" s="101"/>
      <c r="Y313" s="108"/>
      <c r="Z313" s="101"/>
      <c r="AA313" s="101"/>
      <c r="AB313" s="101"/>
      <c r="AC313" s="101"/>
      <c r="AD313" s="101"/>
      <c r="AE313" s="101"/>
    </row>
    <row r="314">
      <c r="A314" s="101"/>
      <c r="B314" s="101"/>
      <c r="C314" s="104"/>
      <c r="D314" s="105"/>
      <c r="E314" s="106"/>
      <c r="F314" s="101"/>
      <c r="G314" s="101"/>
      <c r="H314" s="107"/>
      <c r="I314" s="107"/>
      <c r="J314" s="101"/>
      <c r="K314" s="107"/>
      <c r="L314" s="107"/>
      <c r="M314" s="101"/>
      <c r="N314" s="101"/>
      <c r="O314" s="101"/>
      <c r="P314" s="101"/>
      <c r="Q314" s="104"/>
      <c r="R314" s="104"/>
      <c r="S314" s="104"/>
      <c r="T314" s="101"/>
      <c r="U314" s="101"/>
      <c r="V314" s="101"/>
      <c r="W314" s="101"/>
      <c r="X314" s="101"/>
      <c r="Y314" s="108"/>
      <c r="Z314" s="101"/>
      <c r="AA314" s="101"/>
      <c r="AB314" s="101"/>
      <c r="AC314" s="101"/>
      <c r="AD314" s="101"/>
      <c r="AE314" s="101"/>
    </row>
    <row r="315">
      <c r="A315" s="101"/>
      <c r="B315" s="101"/>
      <c r="C315" s="104"/>
      <c r="D315" s="105"/>
      <c r="E315" s="106"/>
      <c r="F315" s="101"/>
      <c r="G315" s="101"/>
      <c r="H315" s="107"/>
      <c r="I315" s="107"/>
      <c r="J315" s="101"/>
      <c r="K315" s="107"/>
      <c r="L315" s="107"/>
      <c r="M315" s="101"/>
      <c r="N315" s="101"/>
      <c r="O315" s="101"/>
      <c r="P315" s="101"/>
      <c r="Q315" s="104"/>
      <c r="R315" s="104"/>
      <c r="S315" s="104"/>
      <c r="T315" s="101"/>
      <c r="U315" s="101"/>
      <c r="V315" s="101"/>
      <c r="W315" s="101"/>
      <c r="X315" s="101"/>
      <c r="Y315" s="108"/>
      <c r="Z315" s="101"/>
      <c r="AA315" s="101"/>
      <c r="AB315" s="101"/>
      <c r="AC315" s="101"/>
      <c r="AD315" s="101"/>
      <c r="AE315" s="101"/>
    </row>
    <row r="316">
      <c r="A316" s="101"/>
      <c r="B316" s="101"/>
      <c r="C316" s="104"/>
      <c r="D316" s="105"/>
      <c r="E316" s="106"/>
      <c r="F316" s="101"/>
      <c r="G316" s="101"/>
      <c r="H316" s="107"/>
      <c r="I316" s="107"/>
      <c r="J316" s="101"/>
      <c r="K316" s="107"/>
      <c r="L316" s="107"/>
      <c r="M316" s="101"/>
      <c r="N316" s="101"/>
      <c r="O316" s="101"/>
      <c r="P316" s="101"/>
      <c r="Q316" s="104"/>
      <c r="R316" s="104"/>
      <c r="S316" s="104"/>
      <c r="T316" s="101"/>
      <c r="U316" s="101"/>
      <c r="V316" s="101"/>
      <c r="W316" s="101"/>
      <c r="X316" s="101"/>
      <c r="Y316" s="108"/>
      <c r="Z316" s="101"/>
      <c r="AA316" s="101"/>
      <c r="AB316" s="101"/>
      <c r="AC316" s="101"/>
      <c r="AD316" s="101"/>
      <c r="AE316" s="101"/>
    </row>
    <row r="317">
      <c r="A317" s="101"/>
      <c r="B317" s="101"/>
      <c r="C317" s="104"/>
      <c r="D317" s="105"/>
      <c r="E317" s="106"/>
      <c r="F317" s="101"/>
      <c r="G317" s="101"/>
      <c r="H317" s="107"/>
      <c r="I317" s="107"/>
      <c r="J317" s="101"/>
      <c r="K317" s="107"/>
      <c r="L317" s="107"/>
      <c r="M317" s="101"/>
      <c r="N317" s="101"/>
      <c r="O317" s="101"/>
      <c r="P317" s="101"/>
      <c r="Q317" s="104"/>
      <c r="R317" s="104"/>
      <c r="S317" s="104"/>
      <c r="T317" s="101"/>
      <c r="U317" s="101"/>
      <c r="V317" s="101"/>
      <c r="W317" s="101"/>
      <c r="X317" s="101"/>
      <c r="Y317" s="108"/>
      <c r="Z317" s="101"/>
      <c r="AA317" s="101"/>
      <c r="AB317" s="101"/>
      <c r="AC317" s="101"/>
      <c r="AD317" s="101"/>
      <c r="AE317" s="101"/>
    </row>
    <row r="318">
      <c r="A318" s="101"/>
      <c r="B318" s="101"/>
      <c r="C318" s="104"/>
      <c r="D318" s="105"/>
      <c r="E318" s="106"/>
      <c r="F318" s="101"/>
      <c r="G318" s="101"/>
      <c r="H318" s="107"/>
      <c r="I318" s="107"/>
      <c r="J318" s="101"/>
      <c r="K318" s="107"/>
      <c r="L318" s="107"/>
      <c r="M318" s="101"/>
      <c r="N318" s="101"/>
      <c r="O318" s="101"/>
      <c r="P318" s="101"/>
      <c r="Q318" s="104"/>
      <c r="R318" s="104"/>
      <c r="S318" s="104"/>
      <c r="T318" s="101"/>
      <c r="U318" s="101"/>
      <c r="V318" s="101"/>
      <c r="W318" s="101"/>
      <c r="X318" s="101"/>
      <c r="Y318" s="108"/>
      <c r="Z318" s="101"/>
      <c r="AA318" s="101"/>
      <c r="AB318" s="101"/>
      <c r="AC318" s="101"/>
      <c r="AD318" s="101"/>
      <c r="AE318" s="101"/>
    </row>
    <row r="319">
      <c r="A319" s="101"/>
      <c r="B319" s="101"/>
      <c r="C319" s="104"/>
      <c r="D319" s="105"/>
      <c r="E319" s="106"/>
      <c r="F319" s="101"/>
      <c r="G319" s="101"/>
      <c r="H319" s="107"/>
      <c r="I319" s="107"/>
      <c r="J319" s="101"/>
      <c r="K319" s="107"/>
      <c r="L319" s="107"/>
      <c r="M319" s="101"/>
      <c r="N319" s="101"/>
      <c r="O319" s="101"/>
      <c r="P319" s="101"/>
      <c r="Q319" s="104"/>
      <c r="R319" s="104"/>
      <c r="S319" s="104"/>
      <c r="T319" s="101"/>
      <c r="U319" s="101"/>
      <c r="V319" s="101"/>
      <c r="W319" s="101"/>
      <c r="X319" s="101"/>
      <c r="Y319" s="108"/>
      <c r="Z319" s="101"/>
      <c r="AA319" s="101"/>
      <c r="AB319" s="101"/>
      <c r="AC319" s="101"/>
      <c r="AD319" s="101"/>
      <c r="AE319" s="101"/>
    </row>
    <row r="320">
      <c r="A320" s="101"/>
      <c r="B320" s="101"/>
      <c r="C320" s="104"/>
      <c r="D320" s="105"/>
      <c r="E320" s="106"/>
      <c r="F320" s="101"/>
      <c r="G320" s="101"/>
      <c r="H320" s="107"/>
      <c r="I320" s="107"/>
      <c r="J320" s="101"/>
      <c r="K320" s="107"/>
      <c r="L320" s="107"/>
      <c r="M320" s="101"/>
      <c r="N320" s="101"/>
      <c r="O320" s="101"/>
      <c r="P320" s="101"/>
      <c r="Q320" s="104"/>
      <c r="R320" s="104"/>
      <c r="S320" s="104"/>
      <c r="T320" s="101"/>
      <c r="U320" s="101"/>
      <c r="V320" s="101"/>
      <c r="W320" s="101"/>
      <c r="X320" s="101"/>
      <c r="Y320" s="108"/>
      <c r="Z320" s="101"/>
      <c r="AA320" s="101"/>
      <c r="AB320" s="101"/>
      <c r="AC320" s="101"/>
      <c r="AD320" s="101"/>
      <c r="AE320" s="101"/>
    </row>
    <row r="321">
      <c r="A321" s="101"/>
      <c r="B321" s="101"/>
      <c r="C321" s="104"/>
      <c r="D321" s="105"/>
      <c r="E321" s="106"/>
      <c r="F321" s="101"/>
      <c r="G321" s="101"/>
      <c r="H321" s="107"/>
      <c r="I321" s="107"/>
      <c r="J321" s="101"/>
      <c r="K321" s="107"/>
      <c r="L321" s="107"/>
      <c r="M321" s="101"/>
      <c r="N321" s="101"/>
      <c r="O321" s="101"/>
      <c r="P321" s="101"/>
      <c r="Q321" s="104"/>
      <c r="R321" s="104"/>
      <c r="S321" s="104"/>
      <c r="T321" s="101"/>
      <c r="U321" s="101"/>
      <c r="V321" s="101"/>
      <c r="W321" s="101"/>
      <c r="X321" s="101"/>
      <c r="Y321" s="108"/>
      <c r="Z321" s="101"/>
      <c r="AA321" s="101"/>
      <c r="AB321" s="101"/>
      <c r="AC321" s="101"/>
      <c r="AD321" s="101"/>
      <c r="AE321" s="101"/>
    </row>
    <row r="322">
      <c r="A322" s="101"/>
      <c r="B322" s="101"/>
      <c r="C322" s="104"/>
      <c r="D322" s="105"/>
      <c r="E322" s="106"/>
      <c r="F322" s="101"/>
      <c r="G322" s="101"/>
      <c r="H322" s="107"/>
      <c r="I322" s="107"/>
      <c r="J322" s="101"/>
      <c r="K322" s="107"/>
      <c r="L322" s="107"/>
      <c r="M322" s="101"/>
      <c r="N322" s="101"/>
      <c r="O322" s="101"/>
      <c r="P322" s="101"/>
      <c r="Q322" s="104"/>
      <c r="R322" s="104"/>
      <c r="S322" s="104"/>
      <c r="T322" s="101"/>
      <c r="U322" s="101"/>
      <c r="V322" s="101"/>
      <c r="W322" s="101"/>
      <c r="X322" s="101"/>
      <c r="Y322" s="108"/>
      <c r="Z322" s="101"/>
      <c r="AA322" s="101"/>
      <c r="AB322" s="101"/>
      <c r="AC322" s="101"/>
      <c r="AD322" s="101"/>
      <c r="AE322" s="101"/>
    </row>
    <row r="323">
      <c r="A323" s="101"/>
      <c r="B323" s="101"/>
      <c r="C323" s="104"/>
      <c r="D323" s="105"/>
      <c r="E323" s="106"/>
      <c r="F323" s="101"/>
      <c r="G323" s="101"/>
      <c r="H323" s="107"/>
      <c r="I323" s="107"/>
      <c r="J323" s="101"/>
      <c r="K323" s="107"/>
      <c r="L323" s="107"/>
      <c r="M323" s="101"/>
      <c r="N323" s="101"/>
      <c r="O323" s="101"/>
      <c r="P323" s="101"/>
      <c r="Q323" s="104"/>
      <c r="R323" s="104"/>
      <c r="S323" s="104"/>
      <c r="T323" s="101"/>
      <c r="U323" s="101"/>
      <c r="V323" s="101"/>
      <c r="W323" s="101"/>
      <c r="X323" s="101"/>
      <c r="Y323" s="108"/>
      <c r="Z323" s="101"/>
      <c r="AA323" s="101"/>
      <c r="AB323" s="101"/>
      <c r="AC323" s="101"/>
      <c r="AD323" s="101"/>
      <c r="AE323" s="101"/>
    </row>
    <row r="324">
      <c r="A324" s="101"/>
      <c r="B324" s="101"/>
      <c r="C324" s="104"/>
      <c r="D324" s="105"/>
      <c r="E324" s="106"/>
      <c r="F324" s="101"/>
      <c r="G324" s="101"/>
      <c r="H324" s="107"/>
      <c r="I324" s="107"/>
      <c r="J324" s="101"/>
      <c r="K324" s="107"/>
      <c r="L324" s="107"/>
      <c r="M324" s="101"/>
      <c r="N324" s="101"/>
      <c r="O324" s="101"/>
      <c r="P324" s="101"/>
      <c r="Q324" s="104"/>
      <c r="R324" s="104"/>
      <c r="S324" s="104"/>
      <c r="T324" s="101"/>
      <c r="U324" s="101"/>
      <c r="V324" s="101"/>
      <c r="W324" s="101"/>
      <c r="X324" s="101"/>
      <c r="Y324" s="108"/>
      <c r="Z324" s="101"/>
      <c r="AA324" s="101"/>
      <c r="AB324" s="101"/>
      <c r="AC324" s="101"/>
      <c r="AD324" s="101"/>
      <c r="AE324" s="101"/>
    </row>
    <row r="325">
      <c r="A325" s="101"/>
      <c r="B325" s="101"/>
      <c r="C325" s="104"/>
      <c r="D325" s="105"/>
      <c r="E325" s="106"/>
      <c r="F325" s="101"/>
      <c r="G325" s="101"/>
      <c r="H325" s="107"/>
      <c r="I325" s="107"/>
      <c r="J325" s="101"/>
      <c r="K325" s="107"/>
      <c r="L325" s="107"/>
      <c r="M325" s="101"/>
      <c r="N325" s="101"/>
      <c r="O325" s="101"/>
      <c r="P325" s="101"/>
      <c r="Q325" s="104"/>
      <c r="R325" s="104"/>
      <c r="S325" s="104"/>
      <c r="T325" s="101"/>
      <c r="U325" s="101"/>
      <c r="V325" s="101"/>
      <c r="W325" s="101"/>
      <c r="X325" s="101"/>
      <c r="Y325" s="108"/>
      <c r="Z325" s="101"/>
      <c r="AA325" s="101"/>
      <c r="AB325" s="101"/>
      <c r="AC325" s="101"/>
      <c r="AD325" s="101"/>
      <c r="AE325" s="101"/>
    </row>
    <row r="326">
      <c r="A326" s="101"/>
      <c r="B326" s="101"/>
      <c r="C326" s="104"/>
      <c r="D326" s="105"/>
      <c r="E326" s="106"/>
      <c r="F326" s="101"/>
      <c r="G326" s="101"/>
      <c r="H326" s="107"/>
      <c r="I326" s="107"/>
      <c r="J326" s="101"/>
      <c r="K326" s="107"/>
      <c r="L326" s="107"/>
      <c r="M326" s="101"/>
      <c r="N326" s="101"/>
      <c r="O326" s="101"/>
      <c r="P326" s="101"/>
      <c r="Q326" s="104"/>
      <c r="R326" s="104"/>
      <c r="S326" s="104"/>
      <c r="T326" s="101"/>
      <c r="U326" s="101"/>
      <c r="V326" s="101"/>
      <c r="W326" s="101"/>
      <c r="X326" s="101"/>
      <c r="Y326" s="108"/>
      <c r="Z326" s="101"/>
      <c r="AA326" s="101"/>
      <c r="AB326" s="101"/>
      <c r="AC326" s="101"/>
      <c r="AD326" s="101"/>
      <c r="AE326" s="101"/>
    </row>
    <row r="327">
      <c r="A327" s="101"/>
      <c r="B327" s="101"/>
      <c r="C327" s="104"/>
      <c r="D327" s="105"/>
      <c r="E327" s="106"/>
      <c r="F327" s="101"/>
      <c r="G327" s="101"/>
      <c r="H327" s="107"/>
      <c r="I327" s="107"/>
      <c r="J327" s="101"/>
      <c r="K327" s="107"/>
      <c r="L327" s="107"/>
      <c r="M327" s="101"/>
      <c r="N327" s="101"/>
      <c r="O327" s="101"/>
      <c r="P327" s="101"/>
      <c r="Q327" s="104"/>
      <c r="R327" s="104"/>
      <c r="S327" s="104"/>
      <c r="T327" s="101"/>
      <c r="U327" s="101"/>
      <c r="V327" s="101"/>
      <c r="W327" s="101"/>
      <c r="X327" s="101"/>
      <c r="Y327" s="108"/>
      <c r="Z327" s="101"/>
      <c r="AA327" s="101"/>
      <c r="AB327" s="101"/>
      <c r="AC327" s="101"/>
      <c r="AD327" s="101"/>
      <c r="AE327" s="101"/>
    </row>
    <row r="328">
      <c r="A328" s="101"/>
      <c r="B328" s="101"/>
      <c r="C328" s="104"/>
      <c r="D328" s="105"/>
      <c r="E328" s="106"/>
      <c r="F328" s="101"/>
      <c r="G328" s="101"/>
      <c r="H328" s="107"/>
      <c r="I328" s="107"/>
      <c r="J328" s="101"/>
      <c r="K328" s="107"/>
      <c r="L328" s="107"/>
      <c r="M328" s="101"/>
      <c r="N328" s="101"/>
      <c r="O328" s="101"/>
      <c r="P328" s="101"/>
      <c r="Q328" s="104"/>
      <c r="R328" s="104"/>
      <c r="S328" s="104"/>
      <c r="T328" s="101"/>
      <c r="U328" s="101"/>
      <c r="V328" s="101"/>
      <c r="W328" s="101"/>
      <c r="X328" s="101"/>
      <c r="Y328" s="108"/>
      <c r="Z328" s="101"/>
      <c r="AA328" s="101"/>
      <c r="AB328" s="101"/>
      <c r="AC328" s="101"/>
      <c r="AD328" s="101"/>
      <c r="AE328" s="101"/>
    </row>
    <row r="329">
      <c r="A329" s="101"/>
      <c r="B329" s="101"/>
      <c r="C329" s="104"/>
      <c r="D329" s="105"/>
      <c r="E329" s="106"/>
      <c r="F329" s="101"/>
      <c r="G329" s="101"/>
      <c r="H329" s="107"/>
      <c r="I329" s="107"/>
      <c r="J329" s="101"/>
      <c r="K329" s="107"/>
      <c r="L329" s="107"/>
      <c r="M329" s="101"/>
      <c r="N329" s="101"/>
      <c r="O329" s="101"/>
      <c r="P329" s="101"/>
      <c r="Q329" s="104"/>
      <c r="R329" s="104"/>
      <c r="S329" s="104"/>
      <c r="T329" s="101"/>
      <c r="U329" s="101"/>
      <c r="V329" s="101"/>
      <c r="W329" s="101"/>
      <c r="X329" s="101"/>
      <c r="Y329" s="108"/>
      <c r="Z329" s="101"/>
      <c r="AA329" s="101"/>
      <c r="AB329" s="101"/>
      <c r="AC329" s="101"/>
      <c r="AD329" s="101"/>
      <c r="AE329" s="101"/>
    </row>
    <row r="330">
      <c r="A330" s="101"/>
      <c r="B330" s="101"/>
      <c r="C330" s="104"/>
      <c r="D330" s="105"/>
      <c r="E330" s="106"/>
      <c r="F330" s="101"/>
      <c r="G330" s="101"/>
      <c r="H330" s="107"/>
      <c r="I330" s="107"/>
      <c r="J330" s="101"/>
      <c r="K330" s="107"/>
      <c r="L330" s="107"/>
      <c r="M330" s="101"/>
      <c r="N330" s="101"/>
      <c r="O330" s="101"/>
      <c r="P330" s="101"/>
      <c r="Q330" s="104"/>
      <c r="R330" s="104"/>
      <c r="S330" s="104"/>
      <c r="T330" s="101"/>
      <c r="U330" s="101"/>
      <c r="V330" s="101"/>
      <c r="W330" s="101"/>
      <c r="X330" s="101"/>
      <c r="Y330" s="108"/>
      <c r="Z330" s="101"/>
      <c r="AA330" s="101"/>
      <c r="AB330" s="101"/>
      <c r="AC330" s="101"/>
      <c r="AD330" s="101"/>
      <c r="AE330" s="101"/>
    </row>
    <row r="331">
      <c r="A331" s="101"/>
      <c r="B331" s="101"/>
      <c r="C331" s="104"/>
      <c r="D331" s="105"/>
      <c r="E331" s="106"/>
      <c r="F331" s="101"/>
      <c r="G331" s="101"/>
      <c r="H331" s="107"/>
      <c r="I331" s="107"/>
      <c r="J331" s="101"/>
      <c r="K331" s="107"/>
      <c r="L331" s="107"/>
      <c r="M331" s="101"/>
      <c r="N331" s="101"/>
      <c r="O331" s="101"/>
      <c r="P331" s="101"/>
      <c r="Q331" s="104"/>
      <c r="R331" s="104"/>
      <c r="S331" s="104"/>
      <c r="T331" s="101"/>
      <c r="U331" s="101"/>
      <c r="V331" s="101"/>
      <c r="W331" s="101"/>
      <c r="X331" s="101"/>
      <c r="Y331" s="108"/>
      <c r="Z331" s="101"/>
      <c r="AA331" s="101"/>
      <c r="AB331" s="101"/>
      <c r="AC331" s="101"/>
      <c r="AD331" s="101"/>
      <c r="AE331" s="101"/>
    </row>
    <row r="332">
      <c r="A332" s="101"/>
      <c r="B332" s="101"/>
      <c r="C332" s="104"/>
      <c r="D332" s="105"/>
      <c r="E332" s="106"/>
      <c r="F332" s="101"/>
      <c r="G332" s="101"/>
      <c r="H332" s="107"/>
      <c r="I332" s="107"/>
      <c r="J332" s="101"/>
      <c r="K332" s="107"/>
      <c r="L332" s="107"/>
      <c r="M332" s="101"/>
      <c r="N332" s="101"/>
      <c r="O332" s="101"/>
      <c r="P332" s="101"/>
      <c r="Q332" s="104"/>
      <c r="R332" s="104"/>
      <c r="S332" s="104"/>
      <c r="T332" s="101"/>
      <c r="U332" s="101"/>
      <c r="V332" s="101"/>
      <c r="W332" s="101"/>
      <c r="X332" s="101"/>
      <c r="Y332" s="108"/>
      <c r="Z332" s="101"/>
      <c r="AA332" s="101"/>
      <c r="AB332" s="101"/>
      <c r="AC332" s="101"/>
      <c r="AD332" s="101"/>
      <c r="AE332" s="101"/>
    </row>
    <row r="333">
      <c r="A333" s="101"/>
      <c r="B333" s="101"/>
      <c r="C333" s="104"/>
      <c r="D333" s="105"/>
      <c r="E333" s="106"/>
      <c r="F333" s="101"/>
      <c r="G333" s="101"/>
      <c r="H333" s="107"/>
      <c r="I333" s="107"/>
      <c r="J333" s="101"/>
      <c r="K333" s="107"/>
      <c r="L333" s="107"/>
      <c r="M333" s="101"/>
      <c r="N333" s="101"/>
      <c r="O333" s="101"/>
      <c r="P333" s="101"/>
      <c r="Q333" s="104"/>
      <c r="R333" s="104"/>
      <c r="S333" s="104"/>
      <c r="T333" s="101"/>
      <c r="U333" s="101"/>
      <c r="V333" s="101"/>
      <c r="W333" s="101"/>
      <c r="X333" s="101"/>
      <c r="Y333" s="108"/>
      <c r="Z333" s="101"/>
      <c r="AA333" s="101"/>
      <c r="AB333" s="101"/>
      <c r="AC333" s="101"/>
      <c r="AD333" s="101"/>
      <c r="AE333" s="101"/>
    </row>
    <row r="334">
      <c r="A334" s="101"/>
      <c r="B334" s="101"/>
      <c r="C334" s="104"/>
      <c r="D334" s="105"/>
      <c r="E334" s="106"/>
      <c r="F334" s="101"/>
      <c r="G334" s="101"/>
      <c r="H334" s="107"/>
      <c r="I334" s="107"/>
      <c r="J334" s="101"/>
      <c r="K334" s="107"/>
      <c r="L334" s="107"/>
      <c r="M334" s="101"/>
      <c r="N334" s="101"/>
      <c r="O334" s="101"/>
      <c r="P334" s="101"/>
      <c r="Q334" s="104"/>
      <c r="R334" s="104"/>
      <c r="S334" s="104"/>
      <c r="T334" s="101"/>
      <c r="U334" s="101"/>
      <c r="V334" s="101"/>
      <c r="W334" s="101"/>
      <c r="X334" s="101"/>
      <c r="Y334" s="108"/>
      <c r="Z334" s="101"/>
      <c r="AA334" s="101"/>
      <c r="AB334" s="101"/>
      <c r="AC334" s="101"/>
      <c r="AD334" s="101"/>
      <c r="AE334" s="101"/>
    </row>
    <row r="335">
      <c r="A335" s="101"/>
      <c r="B335" s="101"/>
      <c r="C335" s="104"/>
      <c r="D335" s="105"/>
      <c r="E335" s="106"/>
      <c r="F335" s="101"/>
      <c r="G335" s="101"/>
      <c r="H335" s="107"/>
      <c r="I335" s="107"/>
      <c r="J335" s="101"/>
      <c r="K335" s="107"/>
      <c r="L335" s="107"/>
      <c r="M335" s="101"/>
      <c r="N335" s="101"/>
      <c r="O335" s="101"/>
      <c r="P335" s="101"/>
      <c r="Q335" s="104"/>
      <c r="R335" s="104"/>
      <c r="S335" s="104"/>
      <c r="T335" s="101"/>
      <c r="U335" s="101"/>
      <c r="V335" s="101"/>
      <c r="W335" s="101"/>
      <c r="X335" s="101"/>
      <c r="Y335" s="108"/>
      <c r="Z335" s="101"/>
      <c r="AA335" s="101"/>
      <c r="AB335" s="101"/>
      <c r="AC335" s="101"/>
      <c r="AD335" s="101"/>
      <c r="AE335" s="101"/>
    </row>
    <row r="336">
      <c r="A336" s="101"/>
      <c r="B336" s="101"/>
      <c r="C336" s="104"/>
      <c r="D336" s="105"/>
      <c r="E336" s="106"/>
      <c r="F336" s="101"/>
      <c r="G336" s="101"/>
      <c r="H336" s="107"/>
      <c r="I336" s="107"/>
      <c r="J336" s="101"/>
      <c r="K336" s="107"/>
      <c r="L336" s="107"/>
      <c r="M336" s="101"/>
      <c r="N336" s="101"/>
      <c r="O336" s="101"/>
      <c r="P336" s="101"/>
      <c r="Q336" s="104"/>
      <c r="R336" s="104"/>
      <c r="S336" s="104"/>
      <c r="T336" s="101"/>
      <c r="U336" s="101"/>
      <c r="V336" s="101"/>
      <c r="W336" s="101"/>
      <c r="X336" s="101"/>
      <c r="Y336" s="108"/>
      <c r="Z336" s="101"/>
      <c r="AA336" s="101"/>
      <c r="AB336" s="101"/>
      <c r="AC336" s="101"/>
      <c r="AD336" s="101"/>
      <c r="AE336" s="101"/>
    </row>
    <row r="337">
      <c r="A337" s="101"/>
      <c r="B337" s="101"/>
      <c r="C337" s="104"/>
      <c r="D337" s="105"/>
      <c r="E337" s="106"/>
      <c r="F337" s="101"/>
      <c r="G337" s="101"/>
      <c r="H337" s="107"/>
      <c r="I337" s="107"/>
      <c r="J337" s="101"/>
      <c r="K337" s="107"/>
      <c r="L337" s="107"/>
      <c r="M337" s="101"/>
      <c r="N337" s="101"/>
      <c r="O337" s="101"/>
      <c r="P337" s="101"/>
      <c r="Q337" s="104"/>
      <c r="R337" s="104"/>
      <c r="S337" s="104"/>
      <c r="T337" s="101"/>
      <c r="U337" s="101"/>
      <c r="V337" s="101"/>
      <c r="W337" s="101"/>
      <c r="X337" s="101"/>
      <c r="Y337" s="108"/>
      <c r="Z337" s="101"/>
      <c r="AA337" s="101"/>
      <c r="AB337" s="101"/>
      <c r="AC337" s="101"/>
      <c r="AD337" s="101"/>
      <c r="AE337" s="101"/>
    </row>
    <row r="338">
      <c r="A338" s="101"/>
      <c r="B338" s="101"/>
      <c r="C338" s="104"/>
      <c r="D338" s="105"/>
      <c r="E338" s="106"/>
      <c r="F338" s="101"/>
      <c r="G338" s="101"/>
      <c r="H338" s="107"/>
      <c r="I338" s="107"/>
      <c r="J338" s="101"/>
      <c r="K338" s="107"/>
      <c r="L338" s="107"/>
      <c r="M338" s="101"/>
      <c r="N338" s="101"/>
      <c r="O338" s="101"/>
      <c r="P338" s="101"/>
      <c r="Q338" s="104"/>
      <c r="R338" s="104"/>
      <c r="S338" s="104"/>
      <c r="T338" s="101"/>
      <c r="U338" s="101"/>
      <c r="V338" s="101"/>
      <c r="W338" s="101"/>
      <c r="X338" s="101"/>
      <c r="Y338" s="108"/>
      <c r="Z338" s="101"/>
      <c r="AA338" s="101"/>
      <c r="AB338" s="101"/>
      <c r="AC338" s="101"/>
      <c r="AD338" s="101"/>
      <c r="AE338" s="101"/>
    </row>
    <row r="339">
      <c r="A339" s="101"/>
      <c r="B339" s="101"/>
      <c r="C339" s="104"/>
      <c r="D339" s="105"/>
      <c r="E339" s="106"/>
      <c r="F339" s="101"/>
      <c r="G339" s="101"/>
      <c r="H339" s="107"/>
      <c r="I339" s="107"/>
      <c r="J339" s="101"/>
      <c r="K339" s="107"/>
      <c r="L339" s="107"/>
      <c r="M339" s="101"/>
      <c r="N339" s="101"/>
      <c r="O339" s="101"/>
      <c r="P339" s="101"/>
      <c r="Q339" s="104"/>
      <c r="R339" s="104"/>
      <c r="S339" s="104"/>
      <c r="T339" s="101"/>
      <c r="U339" s="101"/>
      <c r="V339" s="101"/>
      <c r="W339" s="101"/>
      <c r="X339" s="101"/>
      <c r="Y339" s="108"/>
      <c r="Z339" s="101"/>
      <c r="AA339" s="101"/>
      <c r="AB339" s="101"/>
      <c r="AC339" s="101"/>
      <c r="AD339" s="101"/>
      <c r="AE339" s="101"/>
    </row>
    <row r="340">
      <c r="A340" s="101"/>
      <c r="B340" s="101"/>
      <c r="C340" s="104"/>
      <c r="D340" s="105"/>
      <c r="E340" s="106"/>
      <c r="F340" s="101"/>
      <c r="G340" s="101"/>
      <c r="H340" s="107"/>
      <c r="I340" s="107"/>
      <c r="J340" s="101"/>
      <c r="K340" s="107"/>
      <c r="L340" s="107"/>
      <c r="M340" s="101"/>
      <c r="N340" s="101"/>
      <c r="O340" s="101"/>
      <c r="P340" s="101"/>
      <c r="Q340" s="104"/>
      <c r="R340" s="104"/>
      <c r="S340" s="104"/>
      <c r="T340" s="101"/>
      <c r="U340" s="101"/>
      <c r="V340" s="101"/>
      <c r="W340" s="101"/>
      <c r="X340" s="101"/>
      <c r="Y340" s="108"/>
      <c r="Z340" s="101"/>
      <c r="AA340" s="101"/>
      <c r="AB340" s="101"/>
      <c r="AC340" s="101"/>
      <c r="AD340" s="101"/>
      <c r="AE340" s="101"/>
    </row>
    <row r="341">
      <c r="A341" s="101"/>
      <c r="B341" s="101"/>
      <c r="C341" s="104"/>
      <c r="D341" s="105"/>
      <c r="E341" s="106"/>
      <c r="F341" s="101"/>
      <c r="G341" s="101"/>
      <c r="H341" s="107"/>
      <c r="I341" s="107"/>
      <c r="J341" s="101"/>
      <c r="K341" s="107"/>
      <c r="L341" s="107"/>
      <c r="M341" s="101"/>
      <c r="N341" s="101"/>
      <c r="O341" s="101"/>
      <c r="P341" s="101"/>
      <c r="Q341" s="104"/>
      <c r="R341" s="104"/>
      <c r="S341" s="104"/>
      <c r="T341" s="101"/>
      <c r="U341" s="101"/>
      <c r="V341" s="101"/>
      <c r="W341" s="101"/>
      <c r="X341" s="101"/>
      <c r="Y341" s="108"/>
      <c r="Z341" s="101"/>
      <c r="AA341" s="101"/>
      <c r="AB341" s="101"/>
      <c r="AC341" s="101"/>
      <c r="AD341" s="101"/>
      <c r="AE341" s="101"/>
    </row>
    <row r="342">
      <c r="A342" s="101"/>
      <c r="B342" s="101"/>
      <c r="C342" s="104"/>
      <c r="D342" s="105"/>
      <c r="E342" s="106"/>
      <c r="F342" s="101"/>
      <c r="G342" s="101"/>
      <c r="H342" s="107"/>
      <c r="I342" s="107"/>
      <c r="J342" s="101"/>
      <c r="K342" s="107"/>
      <c r="L342" s="107"/>
      <c r="M342" s="101"/>
      <c r="N342" s="101"/>
      <c r="O342" s="101"/>
      <c r="P342" s="101"/>
      <c r="Q342" s="104"/>
      <c r="R342" s="104"/>
      <c r="S342" s="104"/>
      <c r="T342" s="101"/>
      <c r="U342" s="101"/>
      <c r="V342" s="101"/>
      <c r="W342" s="101"/>
      <c r="X342" s="101"/>
      <c r="Y342" s="108"/>
      <c r="Z342" s="101"/>
      <c r="AA342" s="101"/>
      <c r="AB342" s="101"/>
      <c r="AC342" s="101"/>
      <c r="AD342" s="101"/>
      <c r="AE342" s="101"/>
    </row>
    <row r="343">
      <c r="A343" s="101"/>
      <c r="B343" s="101"/>
      <c r="C343" s="104"/>
      <c r="D343" s="105"/>
      <c r="E343" s="106"/>
      <c r="F343" s="101"/>
      <c r="G343" s="101"/>
      <c r="H343" s="107"/>
      <c r="I343" s="107"/>
      <c r="J343" s="101"/>
      <c r="K343" s="107"/>
      <c r="L343" s="107"/>
      <c r="M343" s="101"/>
      <c r="N343" s="101"/>
      <c r="O343" s="101"/>
      <c r="P343" s="101"/>
      <c r="Q343" s="104"/>
      <c r="R343" s="104"/>
      <c r="S343" s="104"/>
      <c r="T343" s="101"/>
      <c r="U343" s="101"/>
      <c r="V343" s="101"/>
      <c r="W343" s="101"/>
      <c r="X343" s="101"/>
      <c r="Y343" s="108"/>
      <c r="Z343" s="101"/>
      <c r="AA343" s="101"/>
      <c r="AB343" s="101"/>
      <c r="AC343" s="101"/>
      <c r="AD343" s="101"/>
      <c r="AE343" s="101"/>
    </row>
    <row r="344">
      <c r="A344" s="101"/>
      <c r="B344" s="101"/>
      <c r="C344" s="104"/>
      <c r="D344" s="105"/>
      <c r="E344" s="106"/>
      <c r="F344" s="101"/>
      <c r="G344" s="101"/>
      <c r="H344" s="107"/>
      <c r="I344" s="107"/>
      <c r="J344" s="101"/>
      <c r="K344" s="107"/>
      <c r="L344" s="107"/>
      <c r="M344" s="101"/>
      <c r="N344" s="101"/>
      <c r="O344" s="101"/>
      <c r="P344" s="101"/>
      <c r="Q344" s="104"/>
      <c r="R344" s="104"/>
      <c r="S344" s="104"/>
      <c r="T344" s="101"/>
      <c r="U344" s="101"/>
      <c r="V344" s="101"/>
      <c r="W344" s="101"/>
      <c r="X344" s="101"/>
      <c r="Y344" s="108"/>
      <c r="Z344" s="101"/>
      <c r="AA344" s="101"/>
      <c r="AB344" s="101"/>
      <c r="AC344" s="101"/>
      <c r="AD344" s="101"/>
      <c r="AE344" s="101"/>
    </row>
    <row r="345">
      <c r="A345" s="101"/>
      <c r="B345" s="101"/>
      <c r="C345" s="104"/>
      <c r="D345" s="105"/>
      <c r="E345" s="106"/>
      <c r="F345" s="101"/>
      <c r="G345" s="101"/>
      <c r="H345" s="107"/>
      <c r="I345" s="107"/>
      <c r="J345" s="101"/>
      <c r="K345" s="107"/>
      <c r="L345" s="107"/>
      <c r="M345" s="101"/>
      <c r="N345" s="101"/>
      <c r="O345" s="101"/>
      <c r="P345" s="101"/>
      <c r="Q345" s="104"/>
      <c r="R345" s="104"/>
      <c r="S345" s="104"/>
      <c r="T345" s="101"/>
      <c r="U345" s="101"/>
      <c r="V345" s="101"/>
      <c r="W345" s="101"/>
      <c r="X345" s="101"/>
      <c r="Y345" s="108"/>
      <c r="Z345" s="101"/>
      <c r="AA345" s="101"/>
      <c r="AB345" s="101"/>
      <c r="AC345" s="101"/>
      <c r="AD345" s="101"/>
      <c r="AE345" s="101"/>
    </row>
    <row r="346">
      <c r="A346" s="101"/>
      <c r="B346" s="101"/>
      <c r="C346" s="104"/>
      <c r="D346" s="105"/>
      <c r="E346" s="106"/>
      <c r="F346" s="101"/>
      <c r="G346" s="101"/>
      <c r="H346" s="107"/>
      <c r="I346" s="107"/>
      <c r="J346" s="101"/>
      <c r="K346" s="107"/>
      <c r="L346" s="107"/>
      <c r="M346" s="101"/>
      <c r="N346" s="101"/>
      <c r="O346" s="101"/>
      <c r="P346" s="101"/>
      <c r="Q346" s="104"/>
      <c r="R346" s="104"/>
      <c r="S346" s="104"/>
      <c r="T346" s="101"/>
      <c r="U346" s="101"/>
      <c r="V346" s="101"/>
      <c r="W346" s="101"/>
      <c r="X346" s="101"/>
      <c r="Y346" s="108"/>
      <c r="Z346" s="101"/>
      <c r="AA346" s="101"/>
      <c r="AB346" s="101"/>
      <c r="AC346" s="101"/>
      <c r="AD346" s="101"/>
      <c r="AE346" s="101"/>
    </row>
    <row r="347">
      <c r="A347" s="101"/>
      <c r="B347" s="101"/>
      <c r="C347" s="104"/>
      <c r="D347" s="105"/>
      <c r="E347" s="106"/>
      <c r="F347" s="101"/>
      <c r="G347" s="101"/>
      <c r="H347" s="107"/>
      <c r="I347" s="107"/>
      <c r="J347" s="101"/>
      <c r="K347" s="107"/>
      <c r="L347" s="107"/>
      <c r="M347" s="101"/>
      <c r="N347" s="101"/>
      <c r="O347" s="101"/>
      <c r="P347" s="101"/>
      <c r="Q347" s="104"/>
      <c r="R347" s="104"/>
      <c r="S347" s="104"/>
      <c r="T347" s="101"/>
      <c r="U347" s="101"/>
      <c r="V347" s="101"/>
      <c r="W347" s="101"/>
      <c r="X347" s="101"/>
      <c r="Y347" s="108"/>
      <c r="Z347" s="101"/>
      <c r="AA347" s="101"/>
      <c r="AB347" s="101"/>
      <c r="AC347" s="101"/>
      <c r="AD347" s="101"/>
      <c r="AE347" s="101"/>
    </row>
    <row r="348">
      <c r="A348" s="101"/>
      <c r="B348" s="101"/>
      <c r="C348" s="104"/>
      <c r="D348" s="105"/>
      <c r="E348" s="106"/>
      <c r="F348" s="101"/>
      <c r="G348" s="101"/>
      <c r="H348" s="107"/>
      <c r="I348" s="107"/>
      <c r="J348" s="101"/>
      <c r="K348" s="107"/>
      <c r="L348" s="107"/>
      <c r="M348" s="101"/>
      <c r="N348" s="101"/>
      <c r="O348" s="101"/>
      <c r="P348" s="101"/>
      <c r="Q348" s="104"/>
      <c r="R348" s="104"/>
      <c r="S348" s="104"/>
      <c r="T348" s="101"/>
      <c r="U348" s="101"/>
      <c r="V348" s="101"/>
      <c r="W348" s="101"/>
      <c r="X348" s="101"/>
      <c r="Y348" s="108"/>
      <c r="Z348" s="101"/>
      <c r="AA348" s="101"/>
      <c r="AB348" s="101"/>
      <c r="AC348" s="101"/>
      <c r="AD348" s="101"/>
      <c r="AE348" s="101"/>
    </row>
    <row r="349">
      <c r="A349" s="101"/>
      <c r="B349" s="101"/>
      <c r="C349" s="104"/>
      <c r="D349" s="105"/>
      <c r="E349" s="106"/>
      <c r="F349" s="101"/>
      <c r="G349" s="101"/>
      <c r="H349" s="107"/>
      <c r="I349" s="107"/>
      <c r="J349" s="101"/>
      <c r="K349" s="107"/>
      <c r="L349" s="107"/>
      <c r="M349" s="101"/>
      <c r="N349" s="101"/>
      <c r="O349" s="101"/>
      <c r="P349" s="101"/>
      <c r="Q349" s="104"/>
      <c r="R349" s="104"/>
      <c r="S349" s="104"/>
      <c r="T349" s="101"/>
      <c r="U349" s="101"/>
      <c r="V349" s="101"/>
      <c r="W349" s="101"/>
      <c r="X349" s="101"/>
      <c r="Y349" s="108"/>
      <c r="Z349" s="101"/>
      <c r="AA349" s="101"/>
      <c r="AB349" s="101"/>
      <c r="AC349" s="101"/>
      <c r="AD349" s="101"/>
      <c r="AE349" s="101"/>
    </row>
    <row r="350">
      <c r="A350" s="101"/>
      <c r="B350" s="101"/>
      <c r="C350" s="104"/>
      <c r="D350" s="105"/>
      <c r="E350" s="106"/>
      <c r="F350" s="101"/>
      <c r="G350" s="101"/>
      <c r="H350" s="107"/>
      <c r="I350" s="107"/>
      <c r="J350" s="101"/>
      <c r="K350" s="107"/>
      <c r="L350" s="107"/>
      <c r="M350" s="101"/>
      <c r="N350" s="101"/>
      <c r="O350" s="101"/>
      <c r="P350" s="101"/>
      <c r="Q350" s="104"/>
      <c r="R350" s="104"/>
      <c r="S350" s="104"/>
      <c r="T350" s="101"/>
      <c r="U350" s="101"/>
      <c r="V350" s="101"/>
      <c r="W350" s="101"/>
      <c r="X350" s="101"/>
      <c r="Y350" s="108"/>
      <c r="Z350" s="101"/>
      <c r="AA350" s="101"/>
      <c r="AB350" s="101"/>
      <c r="AC350" s="101"/>
      <c r="AD350" s="101"/>
      <c r="AE350" s="101"/>
    </row>
    <row r="351">
      <c r="A351" s="101"/>
      <c r="B351" s="101"/>
      <c r="C351" s="104"/>
      <c r="D351" s="105"/>
      <c r="E351" s="106"/>
      <c r="F351" s="101"/>
      <c r="G351" s="101"/>
      <c r="H351" s="107"/>
      <c r="I351" s="107"/>
      <c r="J351" s="101"/>
      <c r="K351" s="107"/>
      <c r="L351" s="107"/>
      <c r="M351" s="101"/>
      <c r="N351" s="101"/>
      <c r="O351" s="101"/>
      <c r="P351" s="101"/>
      <c r="Q351" s="104"/>
      <c r="R351" s="104"/>
      <c r="S351" s="104"/>
      <c r="T351" s="101"/>
      <c r="U351" s="101"/>
      <c r="V351" s="101"/>
      <c r="W351" s="101"/>
      <c r="X351" s="101"/>
      <c r="Y351" s="108"/>
      <c r="Z351" s="101"/>
      <c r="AA351" s="101"/>
      <c r="AB351" s="101"/>
      <c r="AC351" s="101"/>
      <c r="AD351" s="101"/>
      <c r="AE351" s="101"/>
    </row>
    <row r="352">
      <c r="A352" s="101"/>
      <c r="B352" s="101"/>
      <c r="C352" s="104"/>
      <c r="D352" s="105"/>
      <c r="E352" s="106"/>
      <c r="F352" s="101"/>
      <c r="G352" s="101"/>
      <c r="H352" s="107"/>
      <c r="I352" s="107"/>
      <c r="J352" s="101"/>
      <c r="K352" s="107"/>
      <c r="L352" s="107"/>
      <c r="M352" s="101"/>
      <c r="N352" s="101"/>
      <c r="O352" s="101"/>
      <c r="P352" s="101"/>
      <c r="Q352" s="104"/>
      <c r="R352" s="104"/>
      <c r="S352" s="104"/>
      <c r="T352" s="101"/>
      <c r="U352" s="101"/>
      <c r="V352" s="101"/>
      <c r="W352" s="101"/>
      <c r="X352" s="101"/>
      <c r="Y352" s="108"/>
      <c r="Z352" s="101"/>
      <c r="AA352" s="101"/>
      <c r="AB352" s="101"/>
      <c r="AC352" s="101"/>
      <c r="AD352" s="101"/>
      <c r="AE352" s="101"/>
    </row>
    <row r="353">
      <c r="A353" s="101"/>
      <c r="B353" s="101"/>
      <c r="C353" s="104"/>
      <c r="D353" s="105"/>
      <c r="E353" s="106"/>
      <c r="F353" s="101"/>
      <c r="G353" s="101"/>
      <c r="H353" s="107"/>
      <c r="I353" s="107"/>
      <c r="J353" s="101"/>
      <c r="K353" s="107"/>
      <c r="L353" s="107"/>
      <c r="M353" s="101"/>
      <c r="N353" s="101"/>
      <c r="O353" s="101"/>
      <c r="P353" s="101"/>
      <c r="Q353" s="104"/>
      <c r="R353" s="104"/>
      <c r="S353" s="104"/>
      <c r="T353" s="101"/>
      <c r="U353" s="101"/>
      <c r="V353" s="101"/>
      <c r="W353" s="101"/>
      <c r="X353" s="101"/>
      <c r="Y353" s="108"/>
      <c r="Z353" s="101"/>
      <c r="AA353" s="101"/>
      <c r="AB353" s="101"/>
      <c r="AC353" s="101"/>
      <c r="AD353" s="101"/>
      <c r="AE353" s="101"/>
    </row>
    <row r="354">
      <c r="A354" s="101"/>
      <c r="B354" s="101"/>
      <c r="C354" s="104"/>
      <c r="D354" s="105"/>
      <c r="E354" s="106"/>
      <c r="F354" s="101"/>
      <c r="G354" s="101"/>
      <c r="H354" s="107"/>
      <c r="I354" s="107"/>
      <c r="J354" s="101"/>
      <c r="K354" s="107"/>
      <c r="L354" s="107"/>
      <c r="M354" s="101"/>
      <c r="N354" s="101"/>
      <c r="O354" s="101"/>
      <c r="P354" s="101"/>
      <c r="Q354" s="104"/>
      <c r="R354" s="104"/>
      <c r="S354" s="104"/>
      <c r="T354" s="101"/>
      <c r="U354" s="101"/>
      <c r="V354" s="101"/>
      <c r="W354" s="101"/>
      <c r="X354" s="101"/>
      <c r="Y354" s="108"/>
      <c r="Z354" s="101"/>
      <c r="AA354" s="101"/>
      <c r="AB354" s="101"/>
      <c r="AC354" s="101"/>
      <c r="AD354" s="101"/>
      <c r="AE354" s="101"/>
    </row>
    <row r="355">
      <c r="A355" s="101"/>
      <c r="B355" s="101"/>
      <c r="C355" s="104"/>
      <c r="D355" s="105"/>
      <c r="E355" s="106"/>
      <c r="F355" s="101"/>
      <c r="G355" s="101"/>
      <c r="H355" s="107"/>
      <c r="I355" s="107"/>
      <c r="J355" s="101"/>
      <c r="K355" s="107"/>
      <c r="L355" s="107"/>
      <c r="M355" s="101"/>
      <c r="N355" s="101"/>
      <c r="O355" s="101"/>
      <c r="P355" s="101"/>
      <c r="Q355" s="104"/>
      <c r="R355" s="104"/>
      <c r="S355" s="104"/>
      <c r="T355" s="101"/>
      <c r="U355" s="101"/>
      <c r="V355" s="101"/>
      <c r="W355" s="101"/>
      <c r="X355" s="101"/>
      <c r="Y355" s="108"/>
      <c r="Z355" s="101"/>
      <c r="AA355" s="101"/>
      <c r="AB355" s="101"/>
      <c r="AC355" s="101"/>
      <c r="AD355" s="101"/>
      <c r="AE355" s="101"/>
    </row>
    <row r="356">
      <c r="A356" s="101"/>
      <c r="B356" s="101"/>
      <c r="C356" s="104"/>
      <c r="D356" s="105"/>
      <c r="E356" s="106"/>
      <c r="F356" s="101"/>
      <c r="G356" s="101"/>
      <c r="H356" s="107"/>
      <c r="I356" s="107"/>
      <c r="J356" s="101"/>
      <c r="K356" s="107"/>
      <c r="L356" s="107"/>
      <c r="M356" s="101"/>
      <c r="N356" s="101"/>
      <c r="O356" s="101"/>
      <c r="P356" s="101"/>
      <c r="Q356" s="104"/>
      <c r="R356" s="104"/>
      <c r="S356" s="104"/>
      <c r="T356" s="101"/>
      <c r="U356" s="101"/>
      <c r="V356" s="101"/>
      <c r="W356" s="101"/>
      <c r="X356" s="101"/>
      <c r="Y356" s="108"/>
      <c r="Z356" s="101"/>
      <c r="AA356" s="101"/>
      <c r="AB356" s="101"/>
      <c r="AC356" s="101"/>
      <c r="AD356" s="101"/>
      <c r="AE356" s="101"/>
    </row>
    <row r="357">
      <c r="A357" s="101"/>
      <c r="B357" s="101"/>
      <c r="C357" s="104"/>
      <c r="D357" s="105"/>
      <c r="E357" s="106"/>
      <c r="F357" s="101"/>
      <c r="G357" s="101"/>
      <c r="H357" s="107"/>
      <c r="I357" s="107"/>
      <c r="J357" s="101"/>
      <c r="K357" s="107"/>
      <c r="L357" s="107"/>
      <c r="M357" s="101"/>
      <c r="N357" s="101"/>
      <c r="O357" s="101"/>
      <c r="P357" s="101"/>
      <c r="Q357" s="104"/>
      <c r="R357" s="104"/>
      <c r="S357" s="104"/>
      <c r="T357" s="101"/>
      <c r="U357" s="101"/>
      <c r="V357" s="101"/>
      <c r="W357" s="101"/>
      <c r="X357" s="101"/>
      <c r="Y357" s="108"/>
      <c r="Z357" s="101"/>
      <c r="AA357" s="101"/>
      <c r="AB357" s="101"/>
      <c r="AC357" s="101"/>
      <c r="AD357" s="101"/>
      <c r="AE357" s="101"/>
    </row>
    <row r="358">
      <c r="A358" s="101"/>
      <c r="B358" s="101"/>
      <c r="C358" s="104"/>
      <c r="D358" s="105"/>
      <c r="E358" s="106"/>
      <c r="F358" s="101"/>
      <c r="G358" s="101"/>
      <c r="H358" s="107"/>
      <c r="I358" s="107"/>
      <c r="J358" s="101"/>
      <c r="K358" s="107"/>
      <c r="L358" s="107"/>
      <c r="M358" s="101"/>
      <c r="N358" s="101"/>
      <c r="O358" s="101"/>
      <c r="P358" s="101"/>
      <c r="Q358" s="104"/>
      <c r="R358" s="104"/>
      <c r="S358" s="104"/>
      <c r="T358" s="101"/>
      <c r="U358" s="101"/>
      <c r="V358" s="101"/>
      <c r="W358" s="101"/>
      <c r="X358" s="101"/>
      <c r="Y358" s="108"/>
      <c r="Z358" s="101"/>
      <c r="AA358" s="101"/>
      <c r="AB358" s="101"/>
      <c r="AC358" s="101"/>
      <c r="AD358" s="101"/>
      <c r="AE358" s="101"/>
    </row>
    <row r="359">
      <c r="A359" s="101"/>
      <c r="B359" s="101"/>
      <c r="C359" s="104"/>
      <c r="D359" s="105"/>
      <c r="E359" s="106"/>
      <c r="F359" s="101"/>
      <c r="G359" s="101"/>
      <c r="H359" s="107"/>
      <c r="I359" s="107"/>
      <c r="J359" s="101"/>
      <c r="K359" s="107"/>
      <c r="L359" s="107"/>
      <c r="M359" s="101"/>
      <c r="N359" s="101"/>
      <c r="O359" s="101"/>
      <c r="P359" s="101"/>
      <c r="Q359" s="104"/>
      <c r="R359" s="104"/>
      <c r="S359" s="104"/>
      <c r="T359" s="101"/>
      <c r="U359" s="101"/>
      <c r="V359" s="101"/>
      <c r="W359" s="101"/>
      <c r="X359" s="101"/>
      <c r="Y359" s="108"/>
      <c r="Z359" s="101"/>
      <c r="AA359" s="101"/>
      <c r="AB359" s="101"/>
      <c r="AC359" s="101"/>
      <c r="AD359" s="101"/>
      <c r="AE359" s="101"/>
    </row>
    <row r="360">
      <c r="A360" s="101"/>
      <c r="B360" s="101"/>
      <c r="C360" s="104"/>
      <c r="D360" s="105"/>
      <c r="E360" s="106"/>
      <c r="F360" s="101"/>
      <c r="G360" s="101"/>
      <c r="H360" s="107"/>
      <c r="I360" s="107"/>
      <c r="J360" s="101"/>
      <c r="K360" s="107"/>
      <c r="L360" s="107"/>
      <c r="M360" s="101"/>
      <c r="N360" s="101"/>
      <c r="O360" s="101"/>
      <c r="P360" s="101"/>
      <c r="Q360" s="104"/>
      <c r="R360" s="104"/>
      <c r="S360" s="104"/>
      <c r="T360" s="101"/>
      <c r="U360" s="101"/>
      <c r="V360" s="101"/>
      <c r="W360" s="101"/>
      <c r="X360" s="101"/>
      <c r="Y360" s="108"/>
      <c r="Z360" s="101"/>
      <c r="AA360" s="101"/>
      <c r="AB360" s="101"/>
      <c r="AC360" s="101"/>
      <c r="AD360" s="101"/>
      <c r="AE360" s="101"/>
    </row>
    <row r="361">
      <c r="A361" s="101"/>
      <c r="B361" s="101"/>
      <c r="C361" s="104"/>
      <c r="D361" s="105"/>
      <c r="E361" s="106"/>
      <c r="F361" s="101"/>
      <c r="G361" s="101"/>
      <c r="H361" s="107"/>
      <c r="I361" s="107"/>
      <c r="J361" s="101"/>
      <c r="K361" s="107"/>
      <c r="L361" s="107"/>
      <c r="M361" s="101"/>
      <c r="N361" s="101"/>
      <c r="O361" s="101"/>
      <c r="P361" s="101"/>
      <c r="Q361" s="104"/>
      <c r="R361" s="104"/>
      <c r="S361" s="104"/>
      <c r="T361" s="101"/>
      <c r="U361" s="101"/>
      <c r="V361" s="101"/>
      <c r="W361" s="101"/>
      <c r="X361" s="101"/>
      <c r="Y361" s="108"/>
      <c r="Z361" s="101"/>
      <c r="AA361" s="101"/>
      <c r="AB361" s="101"/>
      <c r="AC361" s="101"/>
      <c r="AD361" s="101"/>
      <c r="AE361" s="101"/>
    </row>
    <row r="362">
      <c r="A362" s="101"/>
      <c r="B362" s="101"/>
      <c r="C362" s="104"/>
      <c r="D362" s="105"/>
      <c r="E362" s="106"/>
      <c r="F362" s="101"/>
      <c r="G362" s="101"/>
      <c r="H362" s="107"/>
      <c r="I362" s="107"/>
      <c r="J362" s="101"/>
      <c r="K362" s="107"/>
      <c r="L362" s="107"/>
      <c r="M362" s="101"/>
      <c r="N362" s="101"/>
      <c r="O362" s="101"/>
      <c r="P362" s="101"/>
      <c r="Q362" s="104"/>
      <c r="R362" s="104"/>
      <c r="S362" s="104"/>
      <c r="T362" s="101"/>
      <c r="U362" s="101"/>
      <c r="V362" s="101"/>
      <c r="W362" s="101"/>
      <c r="X362" s="101"/>
      <c r="Y362" s="108"/>
      <c r="Z362" s="101"/>
      <c r="AA362" s="101"/>
      <c r="AB362" s="101"/>
      <c r="AC362" s="101"/>
      <c r="AD362" s="101"/>
      <c r="AE362" s="101"/>
    </row>
    <row r="363">
      <c r="A363" s="101"/>
      <c r="B363" s="101"/>
      <c r="C363" s="104"/>
      <c r="D363" s="105"/>
      <c r="E363" s="106"/>
      <c r="F363" s="101"/>
      <c r="G363" s="101"/>
      <c r="H363" s="107"/>
      <c r="I363" s="107"/>
      <c r="J363" s="101"/>
      <c r="K363" s="107"/>
      <c r="L363" s="107"/>
      <c r="M363" s="101"/>
      <c r="N363" s="101"/>
      <c r="O363" s="101"/>
      <c r="P363" s="101"/>
      <c r="Q363" s="104"/>
      <c r="R363" s="104"/>
      <c r="S363" s="104"/>
      <c r="T363" s="101"/>
      <c r="U363" s="101"/>
      <c r="V363" s="101"/>
      <c r="W363" s="101"/>
      <c r="X363" s="101"/>
      <c r="Y363" s="108"/>
      <c r="Z363" s="101"/>
      <c r="AA363" s="101"/>
      <c r="AB363" s="101"/>
      <c r="AC363" s="101"/>
      <c r="AD363" s="101"/>
      <c r="AE363" s="101"/>
    </row>
    <row r="364">
      <c r="A364" s="101"/>
      <c r="B364" s="101"/>
      <c r="C364" s="104"/>
      <c r="D364" s="105"/>
      <c r="E364" s="106"/>
      <c r="F364" s="101"/>
      <c r="G364" s="101"/>
      <c r="H364" s="107"/>
      <c r="I364" s="107"/>
      <c r="J364" s="101"/>
      <c r="K364" s="107"/>
      <c r="L364" s="107"/>
      <c r="M364" s="101"/>
      <c r="N364" s="101"/>
      <c r="O364" s="101"/>
      <c r="P364" s="101"/>
      <c r="Q364" s="104"/>
      <c r="R364" s="104"/>
      <c r="S364" s="104"/>
      <c r="T364" s="101"/>
      <c r="U364" s="101"/>
      <c r="V364" s="101"/>
      <c r="W364" s="101"/>
      <c r="X364" s="101"/>
      <c r="Y364" s="108"/>
      <c r="Z364" s="101"/>
      <c r="AA364" s="101"/>
      <c r="AB364" s="101"/>
      <c r="AC364" s="101"/>
      <c r="AD364" s="101"/>
      <c r="AE364" s="101"/>
    </row>
    <row r="365">
      <c r="A365" s="101"/>
      <c r="B365" s="101"/>
      <c r="C365" s="104"/>
      <c r="D365" s="105"/>
      <c r="E365" s="106"/>
      <c r="F365" s="101"/>
      <c r="G365" s="101"/>
      <c r="H365" s="107"/>
      <c r="I365" s="107"/>
      <c r="J365" s="101"/>
      <c r="K365" s="107"/>
      <c r="L365" s="107"/>
      <c r="M365" s="101"/>
      <c r="N365" s="101"/>
      <c r="O365" s="101"/>
      <c r="P365" s="101"/>
      <c r="Q365" s="104"/>
      <c r="R365" s="104"/>
      <c r="S365" s="104"/>
      <c r="T365" s="101"/>
      <c r="U365" s="101"/>
      <c r="V365" s="101"/>
      <c r="W365" s="101"/>
      <c r="X365" s="101"/>
      <c r="Y365" s="108"/>
      <c r="Z365" s="101"/>
      <c r="AA365" s="101"/>
      <c r="AB365" s="101"/>
      <c r="AC365" s="101"/>
      <c r="AD365" s="101"/>
      <c r="AE365" s="101"/>
    </row>
    <row r="366">
      <c r="A366" s="101"/>
      <c r="B366" s="101"/>
      <c r="C366" s="104"/>
      <c r="D366" s="105"/>
      <c r="E366" s="106"/>
      <c r="F366" s="101"/>
      <c r="G366" s="101"/>
      <c r="H366" s="107"/>
      <c r="I366" s="107"/>
      <c r="J366" s="101"/>
      <c r="K366" s="107"/>
      <c r="L366" s="107"/>
      <c r="M366" s="101"/>
      <c r="N366" s="101"/>
      <c r="O366" s="101"/>
      <c r="P366" s="101"/>
      <c r="Q366" s="104"/>
      <c r="R366" s="104"/>
      <c r="S366" s="104"/>
      <c r="T366" s="101"/>
      <c r="U366" s="101"/>
      <c r="V366" s="101"/>
      <c r="W366" s="101"/>
      <c r="X366" s="101"/>
      <c r="Y366" s="108"/>
      <c r="Z366" s="101"/>
      <c r="AA366" s="101"/>
      <c r="AB366" s="101"/>
      <c r="AC366" s="101"/>
      <c r="AD366" s="101"/>
      <c r="AE366" s="101"/>
    </row>
    <row r="367">
      <c r="A367" s="101"/>
      <c r="B367" s="101"/>
      <c r="C367" s="104"/>
      <c r="D367" s="105"/>
      <c r="E367" s="106"/>
      <c r="F367" s="101"/>
      <c r="G367" s="101"/>
      <c r="H367" s="107"/>
      <c r="I367" s="107"/>
      <c r="J367" s="101"/>
      <c r="K367" s="107"/>
      <c r="L367" s="107"/>
      <c r="M367" s="101"/>
      <c r="N367" s="101"/>
      <c r="O367" s="101"/>
      <c r="P367" s="101"/>
      <c r="Q367" s="104"/>
      <c r="R367" s="104"/>
      <c r="S367" s="104"/>
      <c r="T367" s="101"/>
      <c r="U367" s="101"/>
      <c r="V367" s="101"/>
      <c r="W367" s="101"/>
      <c r="X367" s="101"/>
      <c r="Y367" s="108"/>
      <c r="Z367" s="101"/>
      <c r="AA367" s="101"/>
      <c r="AB367" s="101"/>
      <c r="AC367" s="101"/>
      <c r="AD367" s="101"/>
      <c r="AE367" s="101"/>
    </row>
    <row r="368">
      <c r="A368" s="101"/>
      <c r="B368" s="101"/>
      <c r="C368" s="104"/>
      <c r="D368" s="105"/>
      <c r="E368" s="106"/>
      <c r="F368" s="101"/>
      <c r="G368" s="101"/>
      <c r="H368" s="107"/>
      <c r="I368" s="107"/>
      <c r="J368" s="101"/>
      <c r="K368" s="107"/>
      <c r="L368" s="107"/>
      <c r="M368" s="101"/>
      <c r="N368" s="101"/>
      <c r="O368" s="101"/>
      <c r="P368" s="101"/>
      <c r="Q368" s="104"/>
      <c r="R368" s="104"/>
      <c r="S368" s="104"/>
      <c r="T368" s="101"/>
      <c r="U368" s="101"/>
      <c r="V368" s="101"/>
      <c r="W368" s="101"/>
      <c r="X368" s="101"/>
      <c r="Y368" s="108"/>
      <c r="Z368" s="101"/>
      <c r="AA368" s="101"/>
      <c r="AB368" s="101"/>
      <c r="AC368" s="101"/>
      <c r="AD368" s="101"/>
      <c r="AE368" s="101"/>
    </row>
    <row r="369">
      <c r="A369" s="101"/>
      <c r="B369" s="101"/>
      <c r="C369" s="104"/>
      <c r="D369" s="105"/>
      <c r="E369" s="106"/>
      <c r="F369" s="101"/>
      <c r="G369" s="101"/>
      <c r="H369" s="107"/>
      <c r="I369" s="107"/>
      <c r="J369" s="101"/>
      <c r="K369" s="107"/>
      <c r="L369" s="107"/>
      <c r="M369" s="101"/>
      <c r="N369" s="101"/>
      <c r="O369" s="101"/>
      <c r="P369" s="101"/>
      <c r="Q369" s="104"/>
      <c r="R369" s="104"/>
      <c r="S369" s="104"/>
      <c r="T369" s="101"/>
      <c r="U369" s="101"/>
      <c r="V369" s="101"/>
      <c r="W369" s="101"/>
      <c r="X369" s="101"/>
      <c r="Y369" s="108"/>
      <c r="Z369" s="101"/>
      <c r="AA369" s="101"/>
      <c r="AB369" s="101"/>
      <c r="AC369" s="101"/>
      <c r="AD369" s="101"/>
      <c r="AE369" s="101"/>
    </row>
    <row r="370">
      <c r="A370" s="101"/>
      <c r="B370" s="101"/>
      <c r="C370" s="104"/>
      <c r="D370" s="105"/>
      <c r="E370" s="106"/>
      <c r="F370" s="101"/>
      <c r="G370" s="101"/>
      <c r="H370" s="107"/>
      <c r="I370" s="107"/>
      <c r="J370" s="101"/>
      <c r="K370" s="107"/>
      <c r="L370" s="107"/>
      <c r="M370" s="101"/>
      <c r="N370" s="101"/>
      <c r="O370" s="101"/>
      <c r="P370" s="101"/>
      <c r="Q370" s="104"/>
      <c r="R370" s="104"/>
      <c r="S370" s="104"/>
      <c r="T370" s="101"/>
      <c r="U370" s="101"/>
      <c r="V370" s="101"/>
      <c r="W370" s="101"/>
      <c r="X370" s="101"/>
      <c r="Y370" s="108"/>
      <c r="Z370" s="101"/>
      <c r="AA370" s="101"/>
      <c r="AB370" s="101"/>
      <c r="AC370" s="101"/>
      <c r="AD370" s="101"/>
      <c r="AE370" s="101"/>
    </row>
    <row r="371">
      <c r="A371" s="101"/>
      <c r="B371" s="101"/>
      <c r="C371" s="104"/>
      <c r="D371" s="105"/>
      <c r="E371" s="106"/>
      <c r="F371" s="101"/>
      <c r="G371" s="101"/>
      <c r="H371" s="107"/>
      <c r="I371" s="107"/>
      <c r="J371" s="101"/>
      <c r="K371" s="107"/>
      <c r="L371" s="107"/>
      <c r="M371" s="101"/>
      <c r="N371" s="101"/>
      <c r="O371" s="101"/>
      <c r="P371" s="101"/>
      <c r="Q371" s="104"/>
      <c r="R371" s="104"/>
      <c r="S371" s="104"/>
      <c r="T371" s="101"/>
      <c r="U371" s="101"/>
      <c r="V371" s="101"/>
      <c r="W371" s="101"/>
      <c r="X371" s="101"/>
      <c r="Y371" s="108"/>
      <c r="Z371" s="101"/>
      <c r="AA371" s="101"/>
      <c r="AB371" s="101"/>
      <c r="AC371" s="101"/>
      <c r="AD371" s="101"/>
      <c r="AE371" s="101"/>
    </row>
    <row r="372">
      <c r="A372" s="101"/>
      <c r="B372" s="101"/>
      <c r="C372" s="104"/>
      <c r="D372" s="105"/>
      <c r="E372" s="106"/>
      <c r="F372" s="101"/>
      <c r="G372" s="101"/>
      <c r="H372" s="107"/>
      <c r="I372" s="107"/>
      <c r="J372" s="101"/>
      <c r="K372" s="107"/>
      <c r="L372" s="107"/>
      <c r="M372" s="101"/>
      <c r="N372" s="101"/>
      <c r="O372" s="101"/>
      <c r="P372" s="101"/>
      <c r="Q372" s="104"/>
      <c r="R372" s="104"/>
      <c r="S372" s="104"/>
      <c r="T372" s="101"/>
      <c r="U372" s="101"/>
      <c r="V372" s="101"/>
      <c r="W372" s="101"/>
      <c r="X372" s="101"/>
      <c r="Y372" s="108"/>
      <c r="Z372" s="101"/>
      <c r="AA372" s="101"/>
      <c r="AB372" s="101"/>
      <c r="AC372" s="101"/>
      <c r="AD372" s="101"/>
      <c r="AE372" s="101"/>
    </row>
    <row r="373">
      <c r="A373" s="101"/>
      <c r="B373" s="101"/>
      <c r="C373" s="104"/>
      <c r="D373" s="105"/>
      <c r="E373" s="106"/>
      <c r="F373" s="101"/>
      <c r="G373" s="101"/>
      <c r="H373" s="107"/>
      <c r="I373" s="107"/>
      <c r="J373" s="101"/>
      <c r="K373" s="107"/>
      <c r="L373" s="107"/>
      <c r="M373" s="101"/>
      <c r="N373" s="101"/>
      <c r="O373" s="101"/>
      <c r="P373" s="101"/>
      <c r="Q373" s="104"/>
      <c r="R373" s="104"/>
      <c r="S373" s="104"/>
      <c r="T373" s="101"/>
      <c r="U373" s="101"/>
      <c r="V373" s="101"/>
      <c r="W373" s="101"/>
      <c r="X373" s="101"/>
      <c r="Y373" s="108"/>
      <c r="Z373" s="101"/>
      <c r="AA373" s="101"/>
      <c r="AB373" s="101"/>
      <c r="AC373" s="101"/>
      <c r="AD373" s="101"/>
      <c r="AE373" s="101"/>
    </row>
    <row r="374">
      <c r="A374" s="101"/>
      <c r="B374" s="101"/>
      <c r="C374" s="104"/>
      <c r="D374" s="105"/>
      <c r="E374" s="106"/>
      <c r="F374" s="101"/>
      <c r="G374" s="101"/>
      <c r="H374" s="107"/>
      <c r="I374" s="107"/>
      <c r="J374" s="101"/>
      <c r="K374" s="107"/>
      <c r="L374" s="107"/>
      <c r="M374" s="101"/>
      <c r="N374" s="101"/>
      <c r="O374" s="101"/>
      <c r="P374" s="101"/>
      <c r="Q374" s="104"/>
      <c r="R374" s="104"/>
      <c r="S374" s="104"/>
      <c r="T374" s="101"/>
      <c r="U374" s="101"/>
      <c r="V374" s="101"/>
      <c r="W374" s="101"/>
      <c r="X374" s="101"/>
      <c r="Y374" s="108"/>
      <c r="Z374" s="101"/>
      <c r="AA374" s="101"/>
      <c r="AB374" s="101"/>
      <c r="AC374" s="101"/>
      <c r="AD374" s="101"/>
      <c r="AE374" s="101"/>
    </row>
    <row r="375">
      <c r="A375" s="101"/>
      <c r="B375" s="101"/>
      <c r="C375" s="104"/>
      <c r="D375" s="105"/>
      <c r="E375" s="106"/>
      <c r="F375" s="101"/>
      <c r="G375" s="101"/>
      <c r="H375" s="107"/>
      <c r="I375" s="107"/>
      <c r="J375" s="101"/>
      <c r="K375" s="107"/>
      <c r="L375" s="107"/>
      <c r="M375" s="101"/>
      <c r="N375" s="101"/>
      <c r="O375" s="101"/>
      <c r="P375" s="101"/>
      <c r="Q375" s="104"/>
      <c r="R375" s="104"/>
      <c r="S375" s="104"/>
      <c r="T375" s="101"/>
      <c r="U375" s="101"/>
      <c r="V375" s="101"/>
      <c r="W375" s="101"/>
      <c r="X375" s="101"/>
      <c r="Y375" s="108"/>
      <c r="Z375" s="101"/>
      <c r="AA375" s="101"/>
      <c r="AB375" s="101"/>
      <c r="AC375" s="101"/>
      <c r="AD375" s="101"/>
      <c r="AE375" s="101"/>
    </row>
    <row r="376">
      <c r="A376" s="101"/>
      <c r="B376" s="101"/>
      <c r="C376" s="104"/>
      <c r="D376" s="105"/>
      <c r="E376" s="106"/>
      <c r="F376" s="101"/>
      <c r="G376" s="101"/>
      <c r="H376" s="107"/>
      <c r="I376" s="107"/>
      <c r="J376" s="101"/>
      <c r="K376" s="107"/>
      <c r="L376" s="107"/>
      <c r="M376" s="101"/>
      <c r="N376" s="101"/>
      <c r="O376" s="101"/>
      <c r="P376" s="101"/>
      <c r="Q376" s="104"/>
      <c r="R376" s="104"/>
      <c r="S376" s="104"/>
      <c r="T376" s="101"/>
      <c r="U376" s="101"/>
      <c r="V376" s="101"/>
      <c r="W376" s="101"/>
      <c r="X376" s="101"/>
      <c r="Y376" s="108"/>
      <c r="Z376" s="101"/>
      <c r="AA376" s="101"/>
      <c r="AB376" s="101"/>
      <c r="AC376" s="101"/>
      <c r="AD376" s="101"/>
      <c r="AE376" s="101"/>
    </row>
    <row r="377">
      <c r="A377" s="101"/>
      <c r="B377" s="101"/>
      <c r="C377" s="104"/>
      <c r="D377" s="105"/>
      <c r="E377" s="106"/>
      <c r="F377" s="101"/>
      <c r="G377" s="101"/>
      <c r="H377" s="107"/>
      <c r="I377" s="107"/>
      <c r="J377" s="101"/>
      <c r="K377" s="107"/>
      <c r="L377" s="107"/>
      <c r="M377" s="101"/>
      <c r="N377" s="101"/>
      <c r="O377" s="101"/>
      <c r="P377" s="101"/>
      <c r="Q377" s="104"/>
      <c r="R377" s="104"/>
      <c r="S377" s="104"/>
      <c r="T377" s="101"/>
      <c r="U377" s="101"/>
      <c r="V377" s="101"/>
      <c r="W377" s="101"/>
      <c r="X377" s="101"/>
      <c r="Y377" s="108"/>
      <c r="Z377" s="101"/>
      <c r="AA377" s="101"/>
      <c r="AB377" s="101"/>
      <c r="AC377" s="101"/>
      <c r="AD377" s="101"/>
      <c r="AE377" s="101"/>
    </row>
    <row r="378">
      <c r="A378" s="101"/>
      <c r="B378" s="101"/>
      <c r="C378" s="104"/>
      <c r="D378" s="105"/>
      <c r="E378" s="106"/>
      <c r="F378" s="101"/>
      <c r="G378" s="101"/>
      <c r="H378" s="107"/>
      <c r="I378" s="107"/>
      <c r="J378" s="101"/>
      <c r="K378" s="107"/>
      <c r="L378" s="107"/>
      <c r="M378" s="101"/>
      <c r="N378" s="101"/>
      <c r="O378" s="101"/>
      <c r="P378" s="101"/>
      <c r="Q378" s="104"/>
      <c r="R378" s="104"/>
      <c r="S378" s="104"/>
      <c r="T378" s="101"/>
      <c r="U378" s="101"/>
      <c r="V378" s="101"/>
      <c r="W378" s="101"/>
      <c r="X378" s="101"/>
      <c r="Y378" s="108"/>
      <c r="Z378" s="101"/>
      <c r="AA378" s="101"/>
      <c r="AB378" s="101"/>
      <c r="AC378" s="101"/>
      <c r="AD378" s="101"/>
      <c r="AE378" s="101"/>
    </row>
    <row r="379">
      <c r="A379" s="101"/>
      <c r="B379" s="101"/>
      <c r="C379" s="104"/>
      <c r="D379" s="105"/>
      <c r="E379" s="106"/>
      <c r="F379" s="101"/>
      <c r="G379" s="101"/>
      <c r="H379" s="107"/>
      <c r="I379" s="107"/>
      <c r="J379" s="101"/>
      <c r="K379" s="107"/>
      <c r="L379" s="107"/>
      <c r="M379" s="101"/>
      <c r="N379" s="101"/>
      <c r="O379" s="101"/>
      <c r="P379" s="101"/>
      <c r="Q379" s="104"/>
      <c r="R379" s="104"/>
      <c r="S379" s="104"/>
      <c r="T379" s="101"/>
      <c r="U379" s="101"/>
      <c r="V379" s="101"/>
      <c r="W379" s="101"/>
      <c r="X379" s="101"/>
      <c r="Y379" s="108"/>
      <c r="Z379" s="101"/>
      <c r="AA379" s="101"/>
      <c r="AB379" s="101"/>
      <c r="AC379" s="101"/>
      <c r="AD379" s="101"/>
      <c r="AE379" s="101"/>
    </row>
    <row r="380">
      <c r="A380" s="101"/>
      <c r="B380" s="101"/>
      <c r="C380" s="104"/>
      <c r="D380" s="105"/>
      <c r="E380" s="106"/>
      <c r="F380" s="101"/>
      <c r="G380" s="101"/>
      <c r="H380" s="107"/>
      <c r="I380" s="107"/>
      <c r="J380" s="101"/>
      <c r="K380" s="107"/>
      <c r="L380" s="107"/>
      <c r="M380" s="101"/>
      <c r="N380" s="101"/>
      <c r="O380" s="101"/>
      <c r="P380" s="101"/>
      <c r="Q380" s="104"/>
      <c r="R380" s="104"/>
      <c r="S380" s="104"/>
      <c r="T380" s="101"/>
      <c r="U380" s="101"/>
      <c r="V380" s="101"/>
      <c r="W380" s="101"/>
      <c r="X380" s="101"/>
      <c r="Y380" s="108"/>
      <c r="Z380" s="101"/>
      <c r="AA380" s="101"/>
      <c r="AB380" s="101"/>
      <c r="AC380" s="101"/>
      <c r="AD380" s="101"/>
      <c r="AE380" s="101"/>
    </row>
    <row r="381">
      <c r="A381" s="101"/>
      <c r="B381" s="101"/>
      <c r="C381" s="104"/>
      <c r="D381" s="105"/>
      <c r="E381" s="106"/>
      <c r="F381" s="101"/>
      <c r="G381" s="101"/>
      <c r="H381" s="107"/>
      <c r="I381" s="107"/>
      <c r="J381" s="101"/>
      <c r="K381" s="107"/>
      <c r="L381" s="107"/>
      <c r="M381" s="101"/>
      <c r="N381" s="101"/>
      <c r="O381" s="101"/>
      <c r="P381" s="101"/>
      <c r="Q381" s="104"/>
      <c r="R381" s="104"/>
      <c r="S381" s="104"/>
      <c r="T381" s="101"/>
      <c r="U381" s="101"/>
      <c r="V381" s="101"/>
      <c r="W381" s="101"/>
      <c r="X381" s="101"/>
      <c r="Y381" s="108"/>
      <c r="Z381" s="101"/>
      <c r="AA381" s="101"/>
      <c r="AB381" s="101"/>
      <c r="AC381" s="101"/>
      <c r="AD381" s="101"/>
      <c r="AE381" s="101"/>
    </row>
    <row r="382">
      <c r="A382" s="101"/>
      <c r="B382" s="101"/>
      <c r="C382" s="104"/>
      <c r="D382" s="105"/>
      <c r="E382" s="106"/>
      <c r="F382" s="101"/>
      <c r="G382" s="101"/>
      <c r="H382" s="107"/>
      <c r="I382" s="107"/>
      <c r="J382" s="101"/>
      <c r="K382" s="107"/>
      <c r="L382" s="107"/>
      <c r="M382" s="101"/>
      <c r="N382" s="101"/>
      <c r="O382" s="101"/>
      <c r="P382" s="101"/>
      <c r="Q382" s="104"/>
      <c r="R382" s="104"/>
      <c r="S382" s="104"/>
      <c r="T382" s="101"/>
      <c r="U382" s="101"/>
      <c r="V382" s="101"/>
      <c r="W382" s="101"/>
      <c r="X382" s="101"/>
      <c r="Y382" s="108"/>
      <c r="Z382" s="101"/>
      <c r="AA382" s="101"/>
      <c r="AB382" s="101"/>
      <c r="AC382" s="101"/>
      <c r="AD382" s="101"/>
      <c r="AE382" s="101"/>
    </row>
    <row r="383">
      <c r="A383" s="101"/>
      <c r="B383" s="101"/>
      <c r="C383" s="104"/>
      <c r="D383" s="105"/>
      <c r="E383" s="106"/>
      <c r="F383" s="101"/>
      <c r="G383" s="101"/>
      <c r="H383" s="107"/>
      <c r="I383" s="107"/>
      <c r="J383" s="101"/>
      <c r="K383" s="107"/>
      <c r="L383" s="107"/>
      <c r="M383" s="101"/>
      <c r="N383" s="101"/>
      <c r="O383" s="101"/>
      <c r="P383" s="101"/>
      <c r="Q383" s="104"/>
      <c r="R383" s="104"/>
      <c r="S383" s="104"/>
      <c r="T383" s="101"/>
      <c r="U383" s="101"/>
      <c r="V383" s="101"/>
      <c r="W383" s="101"/>
      <c r="X383" s="101"/>
      <c r="Y383" s="108"/>
      <c r="Z383" s="101"/>
      <c r="AA383" s="101"/>
      <c r="AB383" s="101"/>
      <c r="AC383" s="101"/>
      <c r="AD383" s="101"/>
      <c r="AE383" s="101"/>
    </row>
    <row r="384">
      <c r="A384" s="101"/>
      <c r="B384" s="101"/>
      <c r="C384" s="104"/>
      <c r="D384" s="105"/>
      <c r="E384" s="106"/>
      <c r="F384" s="101"/>
      <c r="G384" s="101"/>
      <c r="H384" s="107"/>
      <c r="I384" s="107"/>
      <c r="J384" s="101"/>
      <c r="K384" s="107"/>
      <c r="L384" s="107"/>
      <c r="M384" s="101"/>
      <c r="N384" s="101"/>
      <c r="O384" s="101"/>
      <c r="P384" s="101"/>
      <c r="Q384" s="104"/>
      <c r="R384" s="104"/>
      <c r="S384" s="104"/>
      <c r="T384" s="101"/>
      <c r="U384" s="101"/>
      <c r="V384" s="101"/>
      <c r="W384" s="101"/>
      <c r="X384" s="101"/>
      <c r="Y384" s="108"/>
      <c r="Z384" s="101"/>
      <c r="AA384" s="101"/>
      <c r="AB384" s="101"/>
      <c r="AC384" s="101"/>
      <c r="AD384" s="101"/>
      <c r="AE384" s="101"/>
    </row>
    <row r="385">
      <c r="A385" s="101"/>
      <c r="B385" s="101"/>
      <c r="C385" s="104"/>
      <c r="D385" s="105"/>
      <c r="E385" s="106"/>
      <c r="F385" s="101"/>
      <c r="G385" s="101"/>
      <c r="H385" s="107"/>
      <c r="I385" s="107"/>
      <c r="J385" s="101"/>
      <c r="K385" s="107"/>
      <c r="L385" s="107"/>
      <c r="M385" s="101"/>
      <c r="N385" s="101"/>
      <c r="O385" s="101"/>
      <c r="P385" s="101"/>
      <c r="Q385" s="104"/>
      <c r="R385" s="104"/>
      <c r="S385" s="104"/>
      <c r="T385" s="101"/>
      <c r="U385" s="101"/>
      <c r="V385" s="101"/>
      <c r="W385" s="101"/>
      <c r="X385" s="101"/>
      <c r="Y385" s="108"/>
      <c r="Z385" s="101"/>
      <c r="AA385" s="101"/>
      <c r="AB385" s="101"/>
      <c r="AC385" s="101"/>
      <c r="AD385" s="101"/>
      <c r="AE385" s="101"/>
    </row>
    <row r="386">
      <c r="A386" s="101"/>
      <c r="B386" s="101"/>
      <c r="C386" s="104"/>
      <c r="D386" s="105"/>
      <c r="E386" s="106"/>
      <c r="F386" s="101"/>
      <c r="G386" s="101"/>
      <c r="H386" s="107"/>
      <c r="I386" s="107"/>
      <c r="J386" s="101"/>
      <c r="K386" s="107"/>
      <c r="L386" s="107"/>
      <c r="M386" s="101"/>
      <c r="N386" s="101"/>
      <c r="O386" s="101"/>
      <c r="P386" s="101"/>
      <c r="Q386" s="104"/>
      <c r="R386" s="104"/>
      <c r="S386" s="104"/>
      <c r="T386" s="101"/>
      <c r="U386" s="101"/>
      <c r="V386" s="101"/>
      <c r="W386" s="101"/>
      <c r="X386" s="101"/>
      <c r="Y386" s="108"/>
      <c r="Z386" s="101"/>
      <c r="AA386" s="101"/>
      <c r="AB386" s="101"/>
      <c r="AC386" s="101"/>
      <c r="AD386" s="101"/>
      <c r="AE386" s="101"/>
    </row>
    <row r="387">
      <c r="A387" s="101"/>
      <c r="B387" s="101"/>
      <c r="C387" s="104"/>
      <c r="D387" s="105"/>
      <c r="E387" s="106"/>
      <c r="F387" s="101"/>
      <c r="G387" s="101"/>
      <c r="H387" s="107"/>
      <c r="I387" s="107"/>
      <c r="J387" s="101"/>
      <c r="K387" s="107"/>
      <c r="L387" s="107"/>
      <c r="M387" s="101"/>
      <c r="N387" s="101"/>
      <c r="O387" s="101"/>
      <c r="P387" s="101"/>
      <c r="Q387" s="104"/>
      <c r="R387" s="104"/>
      <c r="S387" s="104"/>
      <c r="T387" s="101"/>
      <c r="U387" s="101"/>
      <c r="V387" s="101"/>
      <c r="W387" s="101"/>
      <c r="X387" s="101"/>
      <c r="Y387" s="108"/>
      <c r="Z387" s="101"/>
      <c r="AA387" s="101"/>
      <c r="AB387" s="101"/>
      <c r="AC387" s="101"/>
      <c r="AD387" s="101"/>
      <c r="AE387" s="101"/>
    </row>
    <row r="388">
      <c r="A388" s="101"/>
      <c r="B388" s="101"/>
      <c r="C388" s="104"/>
      <c r="D388" s="105"/>
      <c r="E388" s="106"/>
      <c r="F388" s="101"/>
      <c r="G388" s="101"/>
      <c r="H388" s="107"/>
      <c r="I388" s="107"/>
      <c r="J388" s="101"/>
      <c r="K388" s="107"/>
      <c r="L388" s="107"/>
      <c r="M388" s="101"/>
      <c r="N388" s="101"/>
      <c r="O388" s="101"/>
      <c r="P388" s="101"/>
      <c r="Q388" s="104"/>
      <c r="R388" s="104"/>
      <c r="S388" s="104"/>
      <c r="T388" s="101"/>
      <c r="U388" s="101"/>
      <c r="V388" s="101"/>
      <c r="W388" s="101"/>
      <c r="X388" s="101"/>
      <c r="Y388" s="108"/>
      <c r="Z388" s="101"/>
      <c r="AA388" s="101"/>
      <c r="AB388" s="101"/>
      <c r="AC388" s="101"/>
      <c r="AD388" s="101"/>
      <c r="AE388" s="101"/>
    </row>
    <row r="389">
      <c r="A389" s="101"/>
      <c r="B389" s="101"/>
      <c r="C389" s="104"/>
      <c r="D389" s="105"/>
      <c r="E389" s="106"/>
      <c r="F389" s="101"/>
      <c r="G389" s="101"/>
      <c r="H389" s="107"/>
      <c r="I389" s="107"/>
      <c r="J389" s="101"/>
      <c r="K389" s="107"/>
      <c r="L389" s="107"/>
      <c r="M389" s="101"/>
      <c r="N389" s="101"/>
      <c r="O389" s="101"/>
      <c r="P389" s="101"/>
      <c r="Q389" s="104"/>
      <c r="R389" s="104"/>
      <c r="S389" s="104"/>
      <c r="T389" s="101"/>
      <c r="U389" s="101"/>
      <c r="V389" s="101"/>
      <c r="W389" s="101"/>
      <c r="X389" s="101"/>
      <c r="Y389" s="108"/>
      <c r="Z389" s="101"/>
      <c r="AA389" s="101"/>
      <c r="AB389" s="101"/>
      <c r="AC389" s="101"/>
      <c r="AD389" s="101"/>
      <c r="AE389" s="101"/>
    </row>
    <row r="390">
      <c r="A390" s="101"/>
      <c r="B390" s="101"/>
      <c r="C390" s="104"/>
      <c r="D390" s="105"/>
      <c r="E390" s="106"/>
      <c r="F390" s="101"/>
      <c r="G390" s="101"/>
      <c r="H390" s="107"/>
      <c r="I390" s="107"/>
      <c r="J390" s="101"/>
      <c r="K390" s="107"/>
      <c r="L390" s="107"/>
      <c r="M390" s="101"/>
      <c r="N390" s="101"/>
      <c r="O390" s="101"/>
      <c r="P390" s="101"/>
      <c r="Q390" s="104"/>
      <c r="R390" s="104"/>
      <c r="S390" s="104"/>
      <c r="T390" s="101"/>
      <c r="U390" s="101"/>
      <c r="V390" s="101"/>
      <c r="W390" s="101"/>
      <c r="X390" s="101"/>
      <c r="Y390" s="108"/>
      <c r="Z390" s="101"/>
      <c r="AA390" s="101"/>
      <c r="AB390" s="101"/>
      <c r="AC390" s="101"/>
      <c r="AD390" s="101"/>
      <c r="AE390" s="101"/>
    </row>
    <row r="391">
      <c r="A391" s="101"/>
      <c r="B391" s="101"/>
      <c r="C391" s="104"/>
      <c r="D391" s="105"/>
      <c r="E391" s="106"/>
      <c r="F391" s="101"/>
      <c r="G391" s="101"/>
      <c r="H391" s="107"/>
      <c r="I391" s="107"/>
      <c r="J391" s="101"/>
      <c r="K391" s="107"/>
      <c r="L391" s="107"/>
      <c r="M391" s="101"/>
      <c r="N391" s="101"/>
      <c r="O391" s="101"/>
      <c r="P391" s="101"/>
      <c r="Q391" s="104"/>
      <c r="R391" s="104"/>
      <c r="S391" s="104"/>
      <c r="T391" s="101"/>
      <c r="U391" s="101"/>
      <c r="V391" s="101"/>
      <c r="W391" s="101"/>
      <c r="X391" s="101"/>
      <c r="Y391" s="108"/>
      <c r="Z391" s="101"/>
      <c r="AA391" s="101"/>
      <c r="AB391" s="101"/>
      <c r="AC391" s="101"/>
      <c r="AD391" s="101"/>
      <c r="AE391" s="101"/>
    </row>
    <row r="392">
      <c r="A392" s="101"/>
      <c r="B392" s="101"/>
      <c r="C392" s="104"/>
      <c r="D392" s="105"/>
      <c r="E392" s="106"/>
      <c r="F392" s="101"/>
      <c r="G392" s="101"/>
      <c r="H392" s="107"/>
      <c r="I392" s="107"/>
      <c r="J392" s="101"/>
      <c r="K392" s="107"/>
      <c r="L392" s="107"/>
      <c r="M392" s="101"/>
      <c r="N392" s="101"/>
      <c r="O392" s="101"/>
      <c r="P392" s="101"/>
      <c r="Q392" s="104"/>
      <c r="R392" s="104"/>
      <c r="S392" s="104"/>
      <c r="T392" s="101"/>
      <c r="U392" s="101"/>
      <c r="V392" s="101"/>
      <c r="W392" s="101"/>
      <c r="X392" s="101"/>
      <c r="Y392" s="108"/>
      <c r="Z392" s="101"/>
      <c r="AA392" s="101"/>
      <c r="AB392" s="101"/>
      <c r="AC392" s="101"/>
      <c r="AD392" s="101"/>
      <c r="AE392" s="101"/>
    </row>
    <row r="393">
      <c r="A393" s="101"/>
      <c r="B393" s="101"/>
      <c r="C393" s="104"/>
      <c r="D393" s="105"/>
      <c r="E393" s="106"/>
      <c r="F393" s="101"/>
      <c r="G393" s="101"/>
      <c r="H393" s="107"/>
      <c r="I393" s="107"/>
      <c r="J393" s="101"/>
      <c r="K393" s="107"/>
      <c r="L393" s="107"/>
      <c r="M393" s="101"/>
      <c r="N393" s="101"/>
      <c r="O393" s="101"/>
      <c r="P393" s="101"/>
      <c r="Q393" s="104"/>
      <c r="R393" s="104"/>
      <c r="S393" s="104"/>
      <c r="T393" s="101"/>
      <c r="U393" s="101"/>
      <c r="V393" s="101"/>
      <c r="W393" s="101"/>
      <c r="X393" s="101"/>
      <c r="Y393" s="108"/>
      <c r="Z393" s="101"/>
      <c r="AA393" s="101"/>
      <c r="AB393" s="101"/>
      <c r="AC393" s="101"/>
      <c r="AD393" s="101"/>
      <c r="AE393" s="101"/>
    </row>
    <row r="394">
      <c r="A394" s="101"/>
      <c r="B394" s="101"/>
      <c r="C394" s="104"/>
      <c r="D394" s="105"/>
      <c r="E394" s="106"/>
      <c r="F394" s="101"/>
      <c r="G394" s="101"/>
      <c r="H394" s="107"/>
      <c r="I394" s="107"/>
      <c r="J394" s="101"/>
      <c r="K394" s="107"/>
      <c r="L394" s="107"/>
      <c r="M394" s="101"/>
      <c r="N394" s="101"/>
      <c r="O394" s="101"/>
      <c r="P394" s="101"/>
      <c r="Q394" s="104"/>
      <c r="R394" s="104"/>
      <c r="S394" s="104"/>
      <c r="T394" s="101"/>
      <c r="U394" s="101"/>
      <c r="V394" s="101"/>
      <c r="W394" s="101"/>
      <c r="X394" s="101"/>
      <c r="Y394" s="108"/>
      <c r="Z394" s="101"/>
      <c r="AA394" s="101"/>
      <c r="AB394" s="101"/>
      <c r="AC394" s="101"/>
      <c r="AD394" s="101"/>
      <c r="AE394" s="101"/>
    </row>
    <row r="395">
      <c r="A395" s="101"/>
      <c r="B395" s="101"/>
      <c r="C395" s="104"/>
      <c r="D395" s="105"/>
      <c r="E395" s="106"/>
      <c r="F395" s="101"/>
      <c r="G395" s="101"/>
      <c r="H395" s="107"/>
      <c r="I395" s="107"/>
      <c r="J395" s="101"/>
      <c r="K395" s="107"/>
      <c r="L395" s="107"/>
      <c r="M395" s="101"/>
      <c r="N395" s="101"/>
      <c r="O395" s="101"/>
      <c r="P395" s="101"/>
      <c r="Q395" s="104"/>
      <c r="R395" s="104"/>
      <c r="S395" s="104"/>
      <c r="T395" s="101"/>
      <c r="U395" s="101"/>
      <c r="V395" s="101"/>
      <c r="W395" s="101"/>
      <c r="X395" s="101"/>
      <c r="Y395" s="108"/>
      <c r="Z395" s="101"/>
      <c r="AA395" s="101"/>
      <c r="AB395" s="101"/>
      <c r="AC395" s="101"/>
      <c r="AD395" s="101"/>
      <c r="AE395" s="101"/>
    </row>
    <row r="396">
      <c r="A396" s="101"/>
      <c r="B396" s="101"/>
      <c r="C396" s="104"/>
      <c r="D396" s="105"/>
      <c r="E396" s="106"/>
      <c r="F396" s="101"/>
      <c r="G396" s="101"/>
      <c r="H396" s="107"/>
      <c r="I396" s="107"/>
      <c r="J396" s="101"/>
      <c r="K396" s="107"/>
      <c r="L396" s="107"/>
      <c r="M396" s="101"/>
      <c r="N396" s="101"/>
      <c r="O396" s="101"/>
      <c r="P396" s="101"/>
      <c r="Q396" s="104"/>
      <c r="R396" s="104"/>
      <c r="S396" s="104"/>
      <c r="T396" s="101"/>
      <c r="U396" s="101"/>
      <c r="V396" s="101"/>
      <c r="W396" s="101"/>
      <c r="X396" s="101"/>
      <c r="Y396" s="108"/>
      <c r="Z396" s="101"/>
      <c r="AA396" s="101"/>
      <c r="AB396" s="101"/>
      <c r="AC396" s="101"/>
      <c r="AD396" s="101"/>
      <c r="AE396" s="101"/>
    </row>
    <row r="397">
      <c r="A397" s="101"/>
      <c r="B397" s="101"/>
      <c r="C397" s="104"/>
      <c r="D397" s="105"/>
      <c r="E397" s="106"/>
      <c r="F397" s="101"/>
      <c r="G397" s="101"/>
      <c r="H397" s="107"/>
      <c r="I397" s="107"/>
      <c r="J397" s="101"/>
      <c r="K397" s="107"/>
      <c r="L397" s="107"/>
      <c r="M397" s="101"/>
      <c r="N397" s="101"/>
      <c r="O397" s="101"/>
      <c r="P397" s="101"/>
      <c r="Q397" s="104"/>
      <c r="R397" s="104"/>
      <c r="S397" s="104"/>
      <c r="T397" s="101"/>
      <c r="U397" s="101"/>
      <c r="V397" s="101"/>
      <c r="W397" s="101"/>
      <c r="X397" s="101"/>
      <c r="Y397" s="108"/>
      <c r="Z397" s="101"/>
      <c r="AA397" s="101"/>
      <c r="AB397" s="101"/>
      <c r="AC397" s="101"/>
      <c r="AD397" s="101"/>
      <c r="AE397" s="101"/>
    </row>
    <row r="398">
      <c r="A398" s="101"/>
      <c r="B398" s="101"/>
      <c r="C398" s="104"/>
      <c r="D398" s="105"/>
      <c r="E398" s="106"/>
      <c r="F398" s="101"/>
      <c r="G398" s="101"/>
      <c r="H398" s="107"/>
      <c r="I398" s="107"/>
      <c r="J398" s="101"/>
      <c r="K398" s="107"/>
      <c r="L398" s="107"/>
      <c r="M398" s="101"/>
      <c r="N398" s="101"/>
      <c r="O398" s="101"/>
      <c r="P398" s="101"/>
      <c r="Q398" s="104"/>
      <c r="R398" s="104"/>
      <c r="S398" s="104"/>
      <c r="T398" s="101"/>
      <c r="U398" s="101"/>
      <c r="V398" s="101"/>
      <c r="W398" s="101"/>
      <c r="X398" s="101"/>
      <c r="Y398" s="108"/>
      <c r="Z398" s="101"/>
      <c r="AA398" s="101"/>
      <c r="AB398" s="101"/>
      <c r="AC398" s="101"/>
      <c r="AD398" s="101"/>
      <c r="AE398" s="101"/>
    </row>
    <row r="399">
      <c r="A399" s="101"/>
      <c r="B399" s="101"/>
      <c r="C399" s="104"/>
      <c r="D399" s="105"/>
      <c r="E399" s="106"/>
      <c r="F399" s="101"/>
      <c r="G399" s="101"/>
      <c r="H399" s="107"/>
      <c r="I399" s="107"/>
      <c r="J399" s="101"/>
      <c r="K399" s="107"/>
      <c r="L399" s="107"/>
      <c r="M399" s="101"/>
      <c r="N399" s="101"/>
      <c r="O399" s="101"/>
      <c r="P399" s="101"/>
      <c r="Q399" s="104"/>
      <c r="R399" s="104"/>
      <c r="S399" s="104"/>
      <c r="T399" s="101"/>
      <c r="U399" s="101"/>
      <c r="V399" s="101"/>
      <c r="W399" s="101"/>
      <c r="X399" s="101"/>
      <c r="Y399" s="108"/>
      <c r="Z399" s="101"/>
      <c r="AA399" s="101"/>
      <c r="AB399" s="101"/>
      <c r="AC399" s="101"/>
      <c r="AD399" s="101"/>
      <c r="AE399" s="101"/>
    </row>
    <row r="400">
      <c r="A400" s="101"/>
      <c r="B400" s="101"/>
      <c r="C400" s="104"/>
      <c r="D400" s="105"/>
      <c r="E400" s="106"/>
      <c r="F400" s="101"/>
      <c r="G400" s="101"/>
      <c r="H400" s="107"/>
      <c r="I400" s="107"/>
      <c r="J400" s="101"/>
      <c r="K400" s="107"/>
      <c r="L400" s="107"/>
      <c r="M400" s="101"/>
      <c r="N400" s="101"/>
      <c r="O400" s="101"/>
      <c r="P400" s="101"/>
      <c r="Q400" s="104"/>
      <c r="R400" s="104"/>
      <c r="S400" s="104"/>
      <c r="T400" s="101"/>
      <c r="U400" s="101"/>
      <c r="V400" s="101"/>
      <c r="W400" s="101"/>
      <c r="X400" s="101"/>
      <c r="Y400" s="108"/>
      <c r="Z400" s="101"/>
      <c r="AA400" s="101"/>
      <c r="AB400" s="101"/>
      <c r="AC400" s="101"/>
      <c r="AD400" s="101"/>
      <c r="AE400" s="101"/>
    </row>
    <row r="401">
      <c r="A401" s="101"/>
      <c r="B401" s="101"/>
      <c r="C401" s="104"/>
      <c r="D401" s="105"/>
      <c r="E401" s="106"/>
      <c r="F401" s="101"/>
      <c r="G401" s="101"/>
      <c r="H401" s="107"/>
      <c r="I401" s="107"/>
      <c r="J401" s="101"/>
      <c r="K401" s="107"/>
      <c r="L401" s="107"/>
      <c r="M401" s="101"/>
      <c r="N401" s="101"/>
      <c r="O401" s="101"/>
      <c r="P401" s="101"/>
      <c r="Q401" s="104"/>
      <c r="R401" s="104"/>
      <c r="S401" s="104"/>
      <c r="T401" s="101"/>
      <c r="U401" s="101"/>
      <c r="V401" s="101"/>
      <c r="W401" s="101"/>
      <c r="X401" s="101"/>
      <c r="Y401" s="108"/>
      <c r="Z401" s="101"/>
      <c r="AA401" s="101"/>
      <c r="AB401" s="101"/>
      <c r="AC401" s="101"/>
      <c r="AD401" s="101"/>
      <c r="AE401" s="101"/>
    </row>
    <row r="402">
      <c r="A402" s="101"/>
      <c r="B402" s="101"/>
      <c r="C402" s="104"/>
      <c r="D402" s="105"/>
      <c r="E402" s="106"/>
      <c r="F402" s="101"/>
      <c r="G402" s="101"/>
      <c r="H402" s="107"/>
      <c r="I402" s="107"/>
      <c r="J402" s="101"/>
      <c r="K402" s="107"/>
      <c r="L402" s="107"/>
      <c r="M402" s="101"/>
      <c r="N402" s="101"/>
      <c r="O402" s="101"/>
      <c r="P402" s="101"/>
      <c r="Q402" s="104"/>
      <c r="R402" s="104"/>
      <c r="S402" s="104"/>
      <c r="T402" s="101"/>
      <c r="U402" s="101"/>
      <c r="V402" s="101"/>
      <c r="W402" s="101"/>
      <c r="X402" s="101"/>
      <c r="Y402" s="108"/>
      <c r="Z402" s="101"/>
      <c r="AA402" s="101"/>
      <c r="AB402" s="101"/>
      <c r="AC402" s="101"/>
      <c r="AD402" s="101"/>
      <c r="AE402" s="101"/>
    </row>
    <row r="403">
      <c r="A403" s="101"/>
      <c r="B403" s="101"/>
      <c r="C403" s="104"/>
      <c r="D403" s="105"/>
      <c r="E403" s="106"/>
      <c r="F403" s="101"/>
      <c r="G403" s="101"/>
      <c r="H403" s="107"/>
      <c r="I403" s="107"/>
      <c r="J403" s="101"/>
      <c r="K403" s="107"/>
      <c r="L403" s="107"/>
      <c r="M403" s="101"/>
      <c r="N403" s="101"/>
      <c r="O403" s="101"/>
      <c r="P403" s="101"/>
      <c r="Q403" s="104"/>
      <c r="R403" s="104"/>
      <c r="S403" s="104"/>
      <c r="T403" s="101"/>
      <c r="U403" s="101"/>
      <c r="V403" s="101"/>
      <c r="W403" s="101"/>
      <c r="X403" s="101"/>
      <c r="Y403" s="108"/>
      <c r="Z403" s="101"/>
      <c r="AA403" s="101"/>
      <c r="AB403" s="101"/>
      <c r="AC403" s="101"/>
      <c r="AD403" s="101"/>
      <c r="AE403" s="101"/>
    </row>
    <row r="404">
      <c r="A404" s="101"/>
      <c r="B404" s="101"/>
      <c r="C404" s="104"/>
      <c r="D404" s="105"/>
      <c r="E404" s="106"/>
      <c r="F404" s="101"/>
      <c r="G404" s="101"/>
      <c r="H404" s="107"/>
      <c r="I404" s="107"/>
      <c r="J404" s="101"/>
      <c r="K404" s="107"/>
      <c r="L404" s="107"/>
      <c r="M404" s="101"/>
      <c r="N404" s="101"/>
      <c r="O404" s="101"/>
      <c r="P404" s="101"/>
      <c r="Q404" s="104"/>
      <c r="R404" s="104"/>
      <c r="S404" s="104"/>
      <c r="T404" s="101"/>
      <c r="U404" s="101"/>
      <c r="V404" s="101"/>
      <c r="W404" s="101"/>
      <c r="X404" s="101"/>
      <c r="Y404" s="108"/>
      <c r="Z404" s="101"/>
      <c r="AA404" s="101"/>
      <c r="AB404" s="101"/>
      <c r="AC404" s="101"/>
      <c r="AD404" s="101"/>
      <c r="AE404" s="101"/>
    </row>
    <row r="405">
      <c r="A405" s="101"/>
      <c r="B405" s="101"/>
      <c r="C405" s="104"/>
      <c r="D405" s="105"/>
      <c r="E405" s="106"/>
      <c r="F405" s="101"/>
      <c r="G405" s="101"/>
      <c r="H405" s="107"/>
      <c r="I405" s="107"/>
      <c r="J405" s="101"/>
      <c r="K405" s="107"/>
      <c r="L405" s="107"/>
      <c r="M405" s="101"/>
      <c r="N405" s="101"/>
      <c r="O405" s="101"/>
      <c r="P405" s="101"/>
      <c r="Q405" s="104"/>
      <c r="R405" s="104"/>
      <c r="S405" s="104"/>
      <c r="T405" s="101"/>
      <c r="U405" s="101"/>
      <c r="V405" s="101"/>
      <c r="W405" s="101"/>
      <c r="X405" s="101"/>
      <c r="Y405" s="108"/>
      <c r="Z405" s="101"/>
      <c r="AA405" s="101"/>
      <c r="AB405" s="101"/>
      <c r="AC405" s="101"/>
      <c r="AD405" s="101"/>
      <c r="AE405" s="101"/>
    </row>
    <row r="406">
      <c r="A406" s="101"/>
      <c r="B406" s="101"/>
      <c r="C406" s="104"/>
      <c r="D406" s="105"/>
      <c r="E406" s="106"/>
      <c r="F406" s="101"/>
      <c r="G406" s="101"/>
      <c r="H406" s="107"/>
      <c r="I406" s="107"/>
      <c r="J406" s="101"/>
      <c r="K406" s="107"/>
      <c r="L406" s="107"/>
      <c r="M406" s="101"/>
      <c r="N406" s="101"/>
      <c r="O406" s="101"/>
      <c r="P406" s="101"/>
      <c r="Q406" s="104"/>
      <c r="R406" s="104"/>
      <c r="S406" s="104"/>
      <c r="T406" s="101"/>
      <c r="U406" s="101"/>
      <c r="V406" s="101"/>
      <c r="W406" s="101"/>
      <c r="X406" s="101"/>
      <c r="Y406" s="108"/>
      <c r="Z406" s="101"/>
      <c r="AA406" s="101"/>
      <c r="AB406" s="101"/>
      <c r="AC406" s="101"/>
      <c r="AD406" s="101"/>
      <c r="AE406" s="101"/>
    </row>
    <row r="407">
      <c r="A407" s="101"/>
      <c r="B407" s="101"/>
      <c r="C407" s="104"/>
      <c r="D407" s="105"/>
      <c r="E407" s="106"/>
      <c r="F407" s="101"/>
      <c r="G407" s="101"/>
      <c r="H407" s="107"/>
      <c r="I407" s="107"/>
      <c r="J407" s="101"/>
      <c r="K407" s="107"/>
      <c r="L407" s="107"/>
      <c r="M407" s="101"/>
      <c r="N407" s="101"/>
      <c r="O407" s="101"/>
      <c r="P407" s="101"/>
      <c r="Q407" s="104"/>
      <c r="R407" s="104"/>
      <c r="S407" s="104"/>
      <c r="T407" s="101"/>
      <c r="U407" s="101"/>
      <c r="V407" s="101"/>
      <c r="W407" s="101"/>
      <c r="X407" s="101"/>
      <c r="Y407" s="108"/>
      <c r="Z407" s="101"/>
      <c r="AA407" s="101"/>
      <c r="AB407" s="101"/>
      <c r="AC407" s="101"/>
      <c r="AD407" s="101"/>
      <c r="AE407" s="101"/>
    </row>
    <row r="408">
      <c r="A408" s="101"/>
      <c r="B408" s="101"/>
      <c r="C408" s="104"/>
      <c r="D408" s="105"/>
      <c r="E408" s="106"/>
      <c r="F408" s="101"/>
      <c r="G408" s="101"/>
      <c r="H408" s="107"/>
      <c r="I408" s="107"/>
      <c r="J408" s="101"/>
      <c r="K408" s="107"/>
      <c r="L408" s="107"/>
      <c r="M408" s="101"/>
      <c r="N408" s="101"/>
      <c r="O408" s="101"/>
      <c r="P408" s="101"/>
      <c r="Q408" s="104"/>
      <c r="R408" s="104"/>
      <c r="S408" s="104"/>
      <c r="T408" s="101"/>
      <c r="U408" s="101"/>
      <c r="V408" s="101"/>
      <c r="W408" s="101"/>
      <c r="X408" s="101"/>
      <c r="Y408" s="108"/>
      <c r="Z408" s="101"/>
      <c r="AA408" s="101"/>
      <c r="AB408" s="101"/>
      <c r="AC408" s="101"/>
      <c r="AD408" s="101"/>
      <c r="AE408" s="101"/>
    </row>
    <row r="409">
      <c r="A409" s="101"/>
      <c r="B409" s="101"/>
      <c r="C409" s="104"/>
      <c r="D409" s="105"/>
      <c r="E409" s="106"/>
      <c r="F409" s="101"/>
      <c r="G409" s="101"/>
      <c r="H409" s="107"/>
      <c r="I409" s="107"/>
      <c r="J409" s="101"/>
      <c r="K409" s="107"/>
      <c r="L409" s="107"/>
      <c r="M409" s="101"/>
      <c r="N409" s="101"/>
      <c r="O409" s="101"/>
      <c r="P409" s="101"/>
      <c r="Q409" s="104"/>
      <c r="R409" s="104"/>
      <c r="S409" s="104"/>
      <c r="T409" s="101"/>
      <c r="U409" s="101"/>
      <c r="V409" s="101"/>
      <c r="W409" s="101"/>
      <c r="X409" s="101"/>
      <c r="Y409" s="108"/>
      <c r="Z409" s="101"/>
      <c r="AA409" s="101"/>
      <c r="AB409" s="101"/>
      <c r="AC409" s="101"/>
      <c r="AD409" s="101"/>
      <c r="AE409" s="101"/>
    </row>
    <row r="410">
      <c r="A410" s="101"/>
      <c r="B410" s="101"/>
      <c r="C410" s="104"/>
      <c r="D410" s="105"/>
      <c r="E410" s="106"/>
      <c r="F410" s="101"/>
      <c r="G410" s="101"/>
      <c r="H410" s="107"/>
      <c r="I410" s="107"/>
      <c r="J410" s="101"/>
      <c r="K410" s="107"/>
      <c r="L410" s="107"/>
      <c r="M410" s="101"/>
      <c r="N410" s="101"/>
      <c r="O410" s="101"/>
      <c r="P410" s="101"/>
      <c r="Q410" s="104"/>
      <c r="R410" s="104"/>
      <c r="S410" s="104"/>
      <c r="T410" s="101"/>
      <c r="U410" s="101"/>
      <c r="V410" s="101"/>
      <c r="W410" s="101"/>
      <c r="X410" s="101"/>
      <c r="Y410" s="108"/>
      <c r="Z410" s="101"/>
      <c r="AA410" s="101"/>
      <c r="AB410" s="101"/>
      <c r="AC410" s="101"/>
      <c r="AD410" s="101"/>
      <c r="AE410" s="101"/>
    </row>
    <row r="411">
      <c r="A411" s="101"/>
      <c r="B411" s="101"/>
      <c r="C411" s="104"/>
      <c r="D411" s="105"/>
      <c r="E411" s="106"/>
      <c r="F411" s="101"/>
      <c r="G411" s="101"/>
      <c r="H411" s="107"/>
      <c r="I411" s="107"/>
      <c r="J411" s="101"/>
      <c r="K411" s="107"/>
      <c r="L411" s="107"/>
      <c r="M411" s="101"/>
      <c r="N411" s="101"/>
      <c r="O411" s="101"/>
      <c r="P411" s="101"/>
      <c r="Q411" s="104"/>
      <c r="R411" s="104"/>
      <c r="S411" s="104"/>
      <c r="T411" s="101"/>
      <c r="U411" s="101"/>
      <c r="V411" s="101"/>
      <c r="W411" s="101"/>
      <c r="X411" s="101"/>
      <c r="Y411" s="108"/>
      <c r="Z411" s="101"/>
      <c r="AA411" s="101"/>
      <c r="AB411" s="101"/>
      <c r="AC411" s="101"/>
      <c r="AD411" s="101"/>
      <c r="AE411" s="101"/>
    </row>
    <row r="412">
      <c r="A412" s="101"/>
      <c r="B412" s="101"/>
      <c r="C412" s="104"/>
      <c r="D412" s="105"/>
      <c r="E412" s="106"/>
      <c r="F412" s="101"/>
      <c r="G412" s="101"/>
      <c r="H412" s="107"/>
      <c r="I412" s="107"/>
      <c r="J412" s="101"/>
      <c r="K412" s="107"/>
      <c r="L412" s="107"/>
      <c r="M412" s="101"/>
      <c r="N412" s="101"/>
      <c r="O412" s="101"/>
      <c r="P412" s="101"/>
      <c r="Q412" s="104"/>
      <c r="R412" s="104"/>
      <c r="S412" s="104"/>
      <c r="T412" s="101"/>
      <c r="U412" s="101"/>
      <c r="V412" s="101"/>
      <c r="W412" s="101"/>
      <c r="X412" s="101"/>
      <c r="Y412" s="108"/>
      <c r="Z412" s="101"/>
      <c r="AA412" s="101"/>
      <c r="AB412" s="101"/>
      <c r="AC412" s="101"/>
      <c r="AD412" s="101"/>
      <c r="AE412" s="101"/>
    </row>
    <row r="413">
      <c r="A413" s="101"/>
      <c r="B413" s="101"/>
      <c r="C413" s="104"/>
      <c r="D413" s="105"/>
      <c r="E413" s="106"/>
      <c r="F413" s="101"/>
      <c r="G413" s="101"/>
      <c r="H413" s="107"/>
      <c r="I413" s="107"/>
      <c r="J413" s="101"/>
      <c r="K413" s="107"/>
      <c r="L413" s="107"/>
      <c r="M413" s="101"/>
      <c r="N413" s="101"/>
      <c r="O413" s="101"/>
      <c r="P413" s="101"/>
      <c r="Q413" s="104"/>
      <c r="R413" s="104"/>
      <c r="S413" s="104"/>
      <c r="T413" s="101"/>
      <c r="U413" s="101"/>
      <c r="V413" s="101"/>
      <c r="W413" s="101"/>
      <c r="X413" s="101"/>
      <c r="Y413" s="108"/>
      <c r="Z413" s="101"/>
      <c r="AA413" s="101"/>
      <c r="AB413" s="101"/>
      <c r="AC413" s="101"/>
      <c r="AD413" s="101"/>
      <c r="AE413" s="101"/>
    </row>
    <row r="414">
      <c r="A414" s="101"/>
      <c r="B414" s="101"/>
      <c r="C414" s="104"/>
      <c r="D414" s="105"/>
      <c r="E414" s="106"/>
      <c r="F414" s="101"/>
      <c r="G414" s="101"/>
      <c r="H414" s="107"/>
      <c r="I414" s="107"/>
      <c r="J414" s="101"/>
      <c r="K414" s="107"/>
      <c r="L414" s="107"/>
      <c r="M414" s="101"/>
      <c r="N414" s="101"/>
      <c r="O414" s="101"/>
      <c r="P414" s="101"/>
      <c r="Q414" s="104"/>
      <c r="R414" s="104"/>
      <c r="S414" s="104"/>
      <c r="T414" s="101"/>
      <c r="U414" s="101"/>
      <c r="V414" s="101"/>
      <c r="W414" s="101"/>
      <c r="X414" s="101"/>
      <c r="Y414" s="108"/>
      <c r="Z414" s="101"/>
      <c r="AA414" s="101"/>
      <c r="AB414" s="101"/>
      <c r="AC414" s="101"/>
      <c r="AD414" s="101"/>
      <c r="AE414" s="101"/>
    </row>
    <row r="415">
      <c r="A415" s="101"/>
      <c r="B415" s="101"/>
      <c r="C415" s="104"/>
      <c r="D415" s="105"/>
      <c r="E415" s="106"/>
      <c r="F415" s="101"/>
      <c r="G415" s="101"/>
      <c r="H415" s="107"/>
      <c r="I415" s="107"/>
      <c r="J415" s="101"/>
      <c r="K415" s="107"/>
      <c r="L415" s="107"/>
      <c r="M415" s="101"/>
      <c r="N415" s="101"/>
      <c r="O415" s="101"/>
      <c r="P415" s="101"/>
      <c r="Q415" s="104"/>
      <c r="R415" s="104"/>
      <c r="S415" s="104"/>
      <c r="T415" s="101"/>
      <c r="U415" s="101"/>
      <c r="V415" s="101"/>
      <c r="W415" s="101"/>
      <c r="X415" s="101"/>
      <c r="Y415" s="108"/>
      <c r="Z415" s="101"/>
      <c r="AA415" s="101"/>
      <c r="AB415" s="101"/>
      <c r="AC415" s="101"/>
      <c r="AD415" s="101"/>
      <c r="AE415" s="101"/>
    </row>
    <row r="416">
      <c r="A416" s="101"/>
      <c r="B416" s="101"/>
      <c r="C416" s="104"/>
      <c r="D416" s="105"/>
      <c r="E416" s="106"/>
      <c r="F416" s="101"/>
      <c r="G416" s="101"/>
      <c r="H416" s="107"/>
      <c r="I416" s="107"/>
      <c r="J416" s="101"/>
      <c r="K416" s="107"/>
      <c r="L416" s="107"/>
      <c r="M416" s="101"/>
      <c r="N416" s="101"/>
      <c r="O416" s="101"/>
      <c r="P416" s="101"/>
      <c r="Q416" s="104"/>
      <c r="R416" s="104"/>
      <c r="S416" s="104"/>
      <c r="T416" s="101"/>
      <c r="U416" s="101"/>
      <c r="V416" s="101"/>
      <c r="W416" s="101"/>
      <c r="X416" s="101"/>
      <c r="Y416" s="108"/>
      <c r="Z416" s="101"/>
      <c r="AA416" s="101"/>
      <c r="AB416" s="101"/>
      <c r="AC416" s="101"/>
      <c r="AD416" s="101"/>
      <c r="AE416" s="101"/>
    </row>
    <row r="417">
      <c r="A417" s="101"/>
      <c r="B417" s="101"/>
      <c r="C417" s="104"/>
      <c r="D417" s="105"/>
      <c r="E417" s="106"/>
      <c r="F417" s="101"/>
      <c r="G417" s="101"/>
      <c r="H417" s="107"/>
      <c r="I417" s="107"/>
      <c r="J417" s="101"/>
      <c r="K417" s="107"/>
      <c r="L417" s="107"/>
      <c r="M417" s="101"/>
      <c r="N417" s="101"/>
      <c r="O417" s="101"/>
      <c r="P417" s="101"/>
      <c r="Q417" s="104"/>
      <c r="R417" s="104"/>
      <c r="S417" s="104"/>
      <c r="T417" s="101"/>
      <c r="U417" s="101"/>
      <c r="V417" s="101"/>
      <c r="W417" s="101"/>
      <c r="X417" s="101"/>
      <c r="Y417" s="108"/>
      <c r="Z417" s="101"/>
      <c r="AA417" s="101"/>
      <c r="AB417" s="101"/>
      <c r="AC417" s="101"/>
      <c r="AD417" s="101"/>
      <c r="AE417" s="101"/>
    </row>
    <row r="418">
      <c r="A418" s="101"/>
      <c r="B418" s="101"/>
      <c r="C418" s="104"/>
      <c r="D418" s="105"/>
      <c r="E418" s="106"/>
      <c r="F418" s="101"/>
      <c r="G418" s="101"/>
      <c r="H418" s="107"/>
      <c r="I418" s="107"/>
      <c r="J418" s="101"/>
      <c r="K418" s="107"/>
      <c r="L418" s="107"/>
      <c r="M418" s="101"/>
      <c r="N418" s="101"/>
      <c r="O418" s="101"/>
      <c r="P418" s="101"/>
      <c r="Q418" s="104"/>
      <c r="R418" s="104"/>
      <c r="S418" s="104"/>
      <c r="T418" s="101"/>
      <c r="U418" s="101"/>
      <c r="V418" s="101"/>
      <c r="W418" s="101"/>
      <c r="X418" s="101"/>
      <c r="Y418" s="108"/>
      <c r="Z418" s="101"/>
      <c r="AA418" s="101"/>
      <c r="AB418" s="101"/>
      <c r="AC418" s="101"/>
      <c r="AD418" s="101"/>
      <c r="AE418" s="101"/>
    </row>
    <row r="419">
      <c r="A419" s="101"/>
      <c r="B419" s="101"/>
      <c r="C419" s="104"/>
      <c r="D419" s="105"/>
      <c r="E419" s="106"/>
      <c r="F419" s="101"/>
      <c r="G419" s="101"/>
      <c r="H419" s="107"/>
      <c r="I419" s="107"/>
      <c r="J419" s="101"/>
      <c r="K419" s="107"/>
      <c r="L419" s="107"/>
      <c r="M419" s="101"/>
      <c r="N419" s="101"/>
      <c r="O419" s="101"/>
      <c r="P419" s="101"/>
      <c r="Q419" s="104"/>
      <c r="R419" s="104"/>
      <c r="S419" s="104"/>
      <c r="T419" s="101"/>
      <c r="U419" s="101"/>
      <c r="V419" s="101"/>
      <c r="W419" s="101"/>
      <c r="X419" s="101"/>
      <c r="Y419" s="108"/>
      <c r="Z419" s="101"/>
      <c r="AA419" s="101"/>
      <c r="AB419" s="101"/>
      <c r="AC419" s="101"/>
      <c r="AD419" s="101"/>
      <c r="AE419" s="101"/>
    </row>
    <row r="420">
      <c r="A420" s="101"/>
      <c r="B420" s="101"/>
      <c r="C420" s="104"/>
      <c r="D420" s="105"/>
      <c r="E420" s="106"/>
      <c r="F420" s="101"/>
      <c r="G420" s="101"/>
      <c r="H420" s="107"/>
      <c r="I420" s="107"/>
      <c r="J420" s="101"/>
      <c r="K420" s="107"/>
      <c r="L420" s="107"/>
      <c r="M420" s="101"/>
      <c r="N420" s="101"/>
      <c r="O420" s="101"/>
      <c r="P420" s="101"/>
      <c r="Q420" s="104"/>
      <c r="R420" s="104"/>
      <c r="S420" s="104"/>
      <c r="T420" s="101"/>
      <c r="U420" s="101"/>
      <c r="V420" s="101"/>
      <c r="W420" s="101"/>
      <c r="X420" s="101"/>
      <c r="Y420" s="108"/>
      <c r="Z420" s="101"/>
      <c r="AA420" s="101"/>
      <c r="AB420" s="101"/>
      <c r="AC420" s="101"/>
      <c r="AD420" s="101"/>
      <c r="AE420" s="101"/>
    </row>
    <row r="421">
      <c r="A421" s="101"/>
      <c r="B421" s="101"/>
      <c r="C421" s="104"/>
      <c r="D421" s="105"/>
      <c r="E421" s="106"/>
      <c r="F421" s="101"/>
      <c r="G421" s="101"/>
      <c r="H421" s="107"/>
      <c r="I421" s="107"/>
      <c r="J421" s="101"/>
      <c r="K421" s="107"/>
      <c r="L421" s="107"/>
      <c r="M421" s="101"/>
      <c r="N421" s="101"/>
      <c r="O421" s="101"/>
      <c r="P421" s="101"/>
      <c r="Q421" s="104"/>
      <c r="R421" s="104"/>
      <c r="S421" s="104"/>
      <c r="T421" s="101"/>
      <c r="U421" s="101"/>
      <c r="V421" s="101"/>
      <c r="W421" s="101"/>
      <c r="X421" s="101"/>
      <c r="Y421" s="108"/>
      <c r="Z421" s="101"/>
      <c r="AA421" s="101"/>
      <c r="AB421" s="101"/>
      <c r="AC421" s="101"/>
      <c r="AD421" s="101"/>
      <c r="AE421" s="101"/>
    </row>
    <row r="422">
      <c r="A422" s="101"/>
      <c r="B422" s="101"/>
      <c r="C422" s="104"/>
      <c r="D422" s="105"/>
      <c r="E422" s="106"/>
      <c r="F422" s="101"/>
      <c r="G422" s="101"/>
      <c r="H422" s="107"/>
      <c r="I422" s="107"/>
      <c r="J422" s="101"/>
      <c r="K422" s="107"/>
      <c r="L422" s="107"/>
      <c r="M422" s="101"/>
      <c r="N422" s="101"/>
      <c r="O422" s="101"/>
      <c r="P422" s="101"/>
      <c r="Q422" s="104"/>
      <c r="R422" s="104"/>
      <c r="S422" s="104"/>
      <c r="T422" s="101"/>
      <c r="U422" s="101"/>
      <c r="V422" s="101"/>
      <c r="W422" s="101"/>
      <c r="X422" s="101"/>
      <c r="Y422" s="108"/>
      <c r="Z422" s="101"/>
      <c r="AA422" s="101"/>
      <c r="AB422" s="101"/>
      <c r="AC422" s="101"/>
      <c r="AD422" s="101"/>
      <c r="AE422" s="101"/>
    </row>
    <row r="423">
      <c r="A423" s="101"/>
      <c r="B423" s="101"/>
      <c r="C423" s="104"/>
      <c r="D423" s="105"/>
      <c r="E423" s="106"/>
      <c r="F423" s="101"/>
      <c r="G423" s="101"/>
      <c r="H423" s="107"/>
      <c r="I423" s="107"/>
      <c r="J423" s="101"/>
      <c r="K423" s="107"/>
      <c r="L423" s="107"/>
      <c r="M423" s="101"/>
      <c r="N423" s="101"/>
      <c r="O423" s="101"/>
      <c r="P423" s="101"/>
      <c r="Q423" s="104"/>
      <c r="R423" s="104"/>
      <c r="S423" s="104"/>
      <c r="T423" s="101"/>
      <c r="U423" s="101"/>
      <c r="V423" s="101"/>
      <c r="W423" s="101"/>
      <c r="X423" s="101"/>
      <c r="Y423" s="108"/>
      <c r="Z423" s="101"/>
      <c r="AA423" s="101"/>
      <c r="AB423" s="101"/>
      <c r="AC423" s="101"/>
      <c r="AD423" s="101"/>
      <c r="AE423" s="101"/>
    </row>
    <row r="424">
      <c r="A424" s="101"/>
      <c r="B424" s="101"/>
      <c r="C424" s="104"/>
      <c r="D424" s="105"/>
      <c r="E424" s="106"/>
      <c r="F424" s="101"/>
      <c r="G424" s="101"/>
      <c r="H424" s="107"/>
      <c r="I424" s="107"/>
      <c r="J424" s="101"/>
      <c r="K424" s="107"/>
      <c r="L424" s="107"/>
      <c r="M424" s="101"/>
      <c r="N424" s="101"/>
      <c r="O424" s="101"/>
      <c r="P424" s="101"/>
      <c r="Q424" s="104"/>
      <c r="R424" s="104"/>
      <c r="S424" s="104"/>
      <c r="T424" s="101"/>
      <c r="U424" s="101"/>
      <c r="V424" s="101"/>
      <c r="W424" s="101"/>
      <c r="X424" s="101"/>
      <c r="Y424" s="108"/>
      <c r="Z424" s="101"/>
      <c r="AA424" s="101"/>
      <c r="AB424" s="101"/>
      <c r="AC424" s="101"/>
      <c r="AD424" s="101"/>
      <c r="AE424" s="101"/>
    </row>
    <row r="425">
      <c r="A425" s="101"/>
      <c r="B425" s="101"/>
      <c r="C425" s="104"/>
      <c r="D425" s="105"/>
      <c r="E425" s="106"/>
      <c r="F425" s="101"/>
      <c r="G425" s="101"/>
      <c r="H425" s="107"/>
      <c r="I425" s="107"/>
      <c r="J425" s="101"/>
      <c r="K425" s="107"/>
      <c r="L425" s="107"/>
      <c r="M425" s="101"/>
      <c r="N425" s="101"/>
      <c r="O425" s="101"/>
      <c r="P425" s="101"/>
      <c r="Q425" s="104"/>
      <c r="R425" s="104"/>
      <c r="S425" s="104"/>
      <c r="T425" s="101"/>
      <c r="U425" s="101"/>
      <c r="V425" s="101"/>
      <c r="W425" s="101"/>
      <c r="X425" s="101"/>
      <c r="Y425" s="108"/>
      <c r="Z425" s="101"/>
      <c r="AA425" s="101"/>
      <c r="AB425" s="101"/>
      <c r="AC425" s="101"/>
      <c r="AD425" s="101"/>
      <c r="AE425" s="101"/>
    </row>
    <row r="426">
      <c r="A426" s="101"/>
      <c r="B426" s="101"/>
      <c r="C426" s="104"/>
      <c r="D426" s="105"/>
      <c r="E426" s="106"/>
      <c r="F426" s="101"/>
      <c r="G426" s="101"/>
      <c r="H426" s="107"/>
      <c r="I426" s="107"/>
      <c r="J426" s="101"/>
      <c r="K426" s="107"/>
      <c r="L426" s="107"/>
      <c r="M426" s="101"/>
      <c r="N426" s="101"/>
      <c r="O426" s="101"/>
      <c r="P426" s="101"/>
      <c r="Q426" s="104"/>
      <c r="R426" s="104"/>
      <c r="S426" s="104"/>
      <c r="T426" s="101"/>
      <c r="U426" s="101"/>
      <c r="V426" s="101"/>
      <c r="W426" s="101"/>
      <c r="X426" s="101"/>
      <c r="Y426" s="108"/>
      <c r="Z426" s="101"/>
      <c r="AA426" s="101"/>
      <c r="AB426" s="101"/>
      <c r="AC426" s="101"/>
      <c r="AD426" s="101"/>
      <c r="AE426" s="101"/>
    </row>
    <row r="427">
      <c r="A427" s="101"/>
      <c r="B427" s="101"/>
      <c r="C427" s="104"/>
      <c r="D427" s="105"/>
      <c r="E427" s="106"/>
      <c r="F427" s="101"/>
      <c r="G427" s="101"/>
      <c r="H427" s="107"/>
      <c r="I427" s="107"/>
      <c r="J427" s="101"/>
      <c r="K427" s="107"/>
      <c r="L427" s="107"/>
      <c r="M427" s="101"/>
      <c r="N427" s="101"/>
      <c r="O427" s="101"/>
      <c r="P427" s="101"/>
      <c r="Q427" s="104"/>
      <c r="R427" s="104"/>
      <c r="S427" s="104"/>
      <c r="T427" s="101"/>
      <c r="U427" s="101"/>
      <c r="V427" s="101"/>
      <c r="W427" s="101"/>
      <c r="X427" s="101"/>
      <c r="Y427" s="108"/>
      <c r="Z427" s="101"/>
      <c r="AA427" s="101"/>
      <c r="AB427" s="101"/>
      <c r="AC427" s="101"/>
      <c r="AD427" s="101"/>
      <c r="AE427" s="101"/>
    </row>
    <row r="428">
      <c r="A428" s="101"/>
      <c r="B428" s="101"/>
      <c r="C428" s="104"/>
      <c r="D428" s="105"/>
      <c r="E428" s="106"/>
      <c r="F428" s="101"/>
      <c r="G428" s="101"/>
      <c r="H428" s="107"/>
      <c r="I428" s="107"/>
      <c r="J428" s="101"/>
      <c r="K428" s="107"/>
      <c r="L428" s="107"/>
      <c r="M428" s="101"/>
      <c r="N428" s="101"/>
      <c r="O428" s="101"/>
      <c r="P428" s="101"/>
      <c r="Q428" s="104"/>
      <c r="R428" s="104"/>
      <c r="S428" s="104"/>
      <c r="T428" s="101"/>
      <c r="U428" s="101"/>
      <c r="V428" s="101"/>
      <c r="W428" s="101"/>
      <c r="X428" s="101"/>
      <c r="Y428" s="108"/>
      <c r="Z428" s="101"/>
      <c r="AA428" s="101"/>
      <c r="AB428" s="101"/>
      <c r="AC428" s="101"/>
      <c r="AD428" s="101"/>
      <c r="AE428" s="101"/>
    </row>
    <row r="429">
      <c r="A429" s="101"/>
      <c r="B429" s="101"/>
      <c r="C429" s="104"/>
      <c r="D429" s="105"/>
      <c r="E429" s="106"/>
      <c r="F429" s="101"/>
      <c r="G429" s="101"/>
      <c r="H429" s="107"/>
      <c r="I429" s="107"/>
      <c r="J429" s="101"/>
      <c r="K429" s="107"/>
      <c r="L429" s="107"/>
      <c r="M429" s="101"/>
      <c r="N429" s="101"/>
      <c r="O429" s="101"/>
      <c r="P429" s="101"/>
      <c r="Q429" s="104"/>
      <c r="R429" s="104"/>
      <c r="S429" s="104"/>
      <c r="T429" s="101"/>
      <c r="U429" s="101"/>
      <c r="V429" s="101"/>
      <c r="W429" s="101"/>
      <c r="X429" s="101"/>
      <c r="Y429" s="108"/>
      <c r="Z429" s="101"/>
      <c r="AA429" s="101"/>
      <c r="AB429" s="101"/>
      <c r="AC429" s="101"/>
      <c r="AD429" s="101"/>
      <c r="AE429" s="101"/>
    </row>
    <row r="430">
      <c r="A430" s="101"/>
      <c r="B430" s="101"/>
      <c r="C430" s="104"/>
      <c r="D430" s="105"/>
      <c r="E430" s="106"/>
      <c r="F430" s="101"/>
      <c r="G430" s="101"/>
      <c r="H430" s="107"/>
      <c r="I430" s="107"/>
      <c r="J430" s="101"/>
      <c r="K430" s="107"/>
      <c r="L430" s="107"/>
      <c r="M430" s="101"/>
      <c r="N430" s="101"/>
      <c r="O430" s="101"/>
      <c r="P430" s="101"/>
      <c r="Q430" s="104"/>
      <c r="R430" s="104"/>
      <c r="S430" s="104"/>
      <c r="T430" s="101"/>
      <c r="U430" s="101"/>
      <c r="V430" s="101"/>
      <c r="W430" s="101"/>
      <c r="X430" s="101"/>
      <c r="Y430" s="108"/>
      <c r="Z430" s="101"/>
      <c r="AA430" s="101"/>
      <c r="AB430" s="101"/>
      <c r="AC430" s="101"/>
      <c r="AD430" s="101"/>
      <c r="AE430" s="101"/>
    </row>
    <row r="431">
      <c r="A431" s="101"/>
      <c r="B431" s="101"/>
      <c r="C431" s="104"/>
      <c r="D431" s="105"/>
      <c r="E431" s="106"/>
      <c r="F431" s="101"/>
      <c r="G431" s="101"/>
      <c r="H431" s="107"/>
      <c r="I431" s="107"/>
      <c r="J431" s="101"/>
      <c r="K431" s="107"/>
      <c r="L431" s="107"/>
      <c r="M431" s="101"/>
      <c r="N431" s="101"/>
      <c r="O431" s="101"/>
      <c r="P431" s="101"/>
      <c r="Q431" s="104"/>
      <c r="R431" s="104"/>
      <c r="S431" s="104"/>
      <c r="T431" s="101"/>
      <c r="U431" s="101"/>
      <c r="V431" s="101"/>
      <c r="W431" s="101"/>
      <c r="X431" s="101"/>
      <c r="Y431" s="108"/>
      <c r="Z431" s="101"/>
      <c r="AA431" s="101"/>
      <c r="AB431" s="101"/>
      <c r="AC431" s="101"/>
      <c r="AD431" s="101"/>
      <c r="AE431" s="101"/>
    </row>
    <row r="432">
      <c r="A432" s="101"/>
      <c r="B432" s="101"/>
      <c r="C432" s="104"/>
      <c r="D432" s="105"/>
      <c r="E432" s="106"/>
      <c r="F432" s="101"/>
      <c r="G432" s="101"/>
      <c r="H432" s="107"/>
      <c r="I432" s="107"/>
      <c r="J432" s="101"/>
      <c r="K432" s="107"/>
      <c r="L432" s="107"/>
      <c r="M432" s="101"/>
      <c r="N432" s="101"/>
      <c r="O432" s="101"/>
      <c r="P432" s="101"/>
      <c r="Q432" s="104"/>
      <c r="R432" s="104"/>
      <c r="S432" s="104"/>
      <c r="T432" s="101"/>
      <c r="U432" s="101"/>
      <c r="V432" s="101"/>
      <c r="W432" s="101"/>
      <c r="X432" s="101"/>
      <c r="Y432" s="108"/>
      <c r="Z432" s="101"/>
      <c r="AA432" s="101"/>
      <c r="AB432" s="101"/>
      <c r="AC432" s="101"/>
      <c r="AD432" s="101"/>
      <c r="AE432" s="101"/>
    </row>
    <row r="433">
      <c r="A433" s="101"/>
      <c r="B433" s="101"/>
      <c r="C433" s="104"/>
      <c r="D433" s="105"/>
      <c r="E433" s="106"/>
      <c r="F433" s="101"/>
      <c r="G433" s="101"/>
      <c r="H433" s="107"/>
      <c r="I433" s="107"/>
      <c r="J433" s="101"/>
      <c r="K433" s="107"/>
      <c r="L433" s="107"/>
      <c r="M433" s="101"/>
      <c r="N433" s="101"/>
      <c r="O433" s="101"/>
      <c r="P433" s="101"/>
      <c r="Q433" s="104"/>
      <c r="R433" s="104"/>
      <c r="S433" s="104"/>
      <c r="T433" s="101"/>
      <c r="U433" s="101"/>
      <c r="V433" s="101"/>
      <c r="W433" s="101"/>
      <c r="X433" s="101"/>
      <c r="Y433" s="108"/>
      <c r="Z433" s="101"/>
      <c r="AA433" s="101"/>
      <c r="AB433" s="101"/>
      <c r="AC433" s="101"/>
      <c r="AD433" s="101"/>
      <c r="AE433" s="101"/>
    </row>
    <row r="434">
      <c r="A434" s="101"/>
      <c r="B434" s="101"/>
      <c r="C434" s="104"/>
      <c r="D434" s="105"/>
      <c r="E434" s="106"/>
      <c r="F434" s="101"/>
      <c r="G434" s="101"/>
      <c r="H434" s="107"/>
      <c r="I434" s="107"/>
      <c r="J434" s="101"/>
      <c r="K434" s="107"/>
      <c r="L434" s="107"/>
      <c r="M434" s="101"/>
      <c r="N434" s="101"/>
      <c r="O434" s="101"/>
      <c r="P434" s="101"/>
      <c r="Q434" s="104"/>
      <c r="R434" s="104"/>
      <c r="S434" s="104"/>
      <c r="T434" s="101"/>
      <c r="U434" s="101"/>
      <c r="V434" s="101"/>
      <c r="W434" s="101"/>
      <c r="X434" s="101"/>
      <c r="Y434" s="108"/>
      <c r="Z434" s="101"/>
      <c r="AA434" s="101"/>
      <c r="AB434" s="101"/>
      <c r="AC434" s="101"/>
      <c r="AD434" s="101"/>
      <c r="AE434" s="101"/>
    </row>
    <row r="435">
      <c r="A435" s="101"/>
      <c r="B435" s="101"/>
      <c r="C435" s="104"/>
      <c r="D435" s="105"/>
      <c r="E435" s="106"/>
      <c r="F435" s="101"/>
      <c r="G435" s="101"/>
      <c r="H435" s="107"/>
      <c r="I435" s="107"/>
      <c r="J435" s="101"/>
      <c r="K435" s="107"/>
      <c r="L435" s="107"/>
      <c r="M435" s="101"/>
      <c r="N435" s="101"/>
      <c r="O435" s="101"/>
      <c r="P435" s="101"/>
      <c r="Q435" s="104"/>
      <c r="R435" s="104"/>
      <c r="S435" s="104"/>
      <c r="T435" s="101"/>
      <c r="U435" s="101"/>
      <c r="V435" s="101"/>
      <c r="W435" s="101"/>
      <c r="X435" s="101"/>
      <c r="Y435" s="108"/>
      <c r="Z435" s="101"/>
      <c r="AA435" s="101"/>
      <c r="AB435" s="101"/>
      <c r="AC435" s="101"/>
      <c r="AD435" s="101"/>
      <c r="AE435" s="101"/>
    </row>
    <row r="436">
      <c r="A436" s="101"/>
      <c r="B436" s="101"/>
      <c r="C436" s="104"/>
      <c r="D436" s="105"/>
      <c r="E436" s="106"/>
      <c r="F436" s="101"/>
      <c r="G436" s="101"/>
      <c r="H436" s="107"/>
      <c r="I436" s="107"/>
      <c r="J436" s="101"/>
      <c r="K436" s="107"/>
      <c r="L436" s="107"/>
      <c r="M436" s="101"/>
      <c r="N436" s="101"/>
      <c r="O436" s="101"/>
      <c r="P436" s="101"/>
      <c r="Q436" s="104"/>
      <c r="R436" s="104"/>
      <c r="S436" s="104"/>
      <c r="T436" s="101"/>
      <c r="U436" s="101"/>
      <c r="V436" s="101"/>
      <c r="W436" s="101"/>
      <c r="X436" s="101"/>
      <c r="Y436" s="108"/>
      <c r="Z436" s="101"/>
      <c r="AA436" s="101"/>
      <c r="AB436" s="101"/>
      <c r="AC436" s="101"/>
      <c r="AD436" s="101"/>
      <c r="AE436" s="101"/>
    </row>
    <row r="437">
      <c r="A437" s="101"/>
      <c r="B437" s="101"/>
      <c r="C437" s="104"/>
      <c r="D437" s="105"/>
      <c r="E437" s="106"/>
      <c r="F437" s="101"/>
      <c r="G437" s="101"/>
      <c r="H437" s="107"/>
      <c r="I437" s="107"/>
      <c r="J437" s="101"/>
      <c r="K437" s="107"/>
      <c r="L437" s="107"/>
      <c r="M437" s="101"/>
      <c r="N437" s="101"/>
      <c r="O437" s="101"/>
      <c r="P437" s="101"/>
      <c r="Q437" s="104"/>
      <c r="R437" s="104"/>
      <c r="S437" s="104"/>
      <c r="T437" s="101"/>
      <c r="U437" s="101"/>
      <c r="V437" s="101"/>
      <c r="W437" s="101"/>
      <c r="X437" s="101"/>
      <c r="Y437" s="108"/>
      <c r="Z437" s="101"/>
      <c r="AA437" s="101"/>
      <c r="AB437" s="101"/>
      <c r="AC437" s="101"/>
      <c r="AD437" s="101"/>
      <c r="AE437" s="101"/>
    </row>
    <row r="438">
      <c r="A438" s="101"/>
      <c r="B438" s="101"/>
      <c r="C438" s="104"/>
      <c r="D438" s="105"/>
      <c r="E438" s="106"/>
      <c r="F438" s="101"/>
      <c r="G438" s="101"/>
      <c r="H438" s="107"/>
      <c r="I438" s="107"/>
      <c r="J438" s="101"/>
      <c r="K438" s="107"/>
      <c r="L438" s="107"/>
      <c r="M438" s="101"/>
      <c r="N438" s="101"/>
      <c r="O438" s="101"/>
      <c r="P438" s="101"/>
      <c r="Q438" s="104"/>
      <c r="R438" s="104"/>
      <c r="S438" s="104"/>
      <c r="T438" s="101"/>
      <c r="U438" s="101"/>
      <c r="V438" s="101"/>
      <c r="W438" s="101"/>
      <c r="X438" s="101"/>
      <c r="Y438" s="108"/>
      <c r="Z438" s="101"/>
      <c r="AA438" s="101"/>
      <c r="AB438" s="101"/>
      <c r="AC438" s="101"/>
      <c r="AD438" s="101"/>
      <c r="AE438" s="101"/>
    </row>
    <row r="439">
      <c r="A439" s="101"/>
      <c r="B439" s="101"/>
      <c r="C439" s="104"/>
      <c r="D439" s="105"/>
      <c r="E439" s="106"/>
      <c r="F439" s="101"/>
      <c r="G439" s="101"/>
      <c r="H439" s="107"/>
      <c r="I439" s="107"/>
      <c r="J439" s="101"/>
      <c r="K439" s="107"/>
      <c r="L439" s="107"/>
      <c r="M439" s="101"/>
      <c r="N439" s="101"/>
      <c r="O439" s="101"/>
      <c r="P439" s="101"/>
      <c r="Q439" s="104"/>
      <c r="R439" s="104"/>
      <c r="S439" s="104"/>
      <c r="T439" s="101"/>
      <c r="U439" s="101"/>
      <c r="V439" s="101"/>
      <c r="W439" s="101"/>
      <c r="X439" s="101"/>
      <c r="Y439" s="108"/>
      <c r="Z439" s="101"/>
      <c r="AA439" s="101"/>
      <c r="AB439" s="101"/>
      <c r="AC439" s="101"/>
      <c r="AD439" s="101"/>
      <c r="AE439" s="101"/>
    </row>
    <row r="440">
      <c r="A440" s="101"/>
      <c r="B440" s="101"/>
      <c r="C440" s="104"/>
      <c r="D440" s="105"/>
      <c r="E440" s="106"/>
      <c r="F440" s="101"/>
      <c r="G440" s="101"/>
      <c r="H440" s="107"/>
      <c r="I440" s="107"/>
      <c r="J440" s="101"/>
      <c r="K440" s="107"/>
      <c r="L440" s="107"/>
      <c r="M440" s="101"/>
      <c r="N440" s="101"/>
      <c r="O440" s="101"/>
      <c r="P440" s="101"/>
      <c r="Q440" s="104"/>
      <c r="R440" s="104"/>
      <c r="S440" s="104"/>
      <c r="T440" s="101"/>
      <c r="U440" s="101"/>
      <c r="V440" s="101"/>
      <c r="W440" s="101"/>
      <c r="X440" s="101"/>
      <c r="Y440" s="108"/>
      <c r="Z440" s="101"/>
      <c r="AA440" s="101"/>
      <c r="AB440" s="101"/>
      <c r="AC440" s="101"/>
      <c r="AD440" s="101"/>
      <c r="AE440" s="101"/>
    </row>
    <row r="441">
      <c r="A441" s="101"/>
      <c r="B441" s="101"/>
      <c r="C441" s="104"/>
      <c r="D441" s="105"/>
      <c r="E441" s="106"/>
      <c r="F441" s="101"/>
      <c r="G441" s="101"/>
      <c r="H441" s="107"/>
      <c r="I441" s="107"/>
      <c r="J441" s="101"/>
      <c r="K441" s="107"/>
      <c r="L441" s="107"/>
      <c r="M441" s="101"/>
      <c r="N441" s="101"/>
      <c r="O441" s="101"/>
      <c r="P441" s="101"/>
      <c r="Q441" s="104"/>
      <c r="R441" s="104"/>
      <c r="S441" s="104"/>
      <c r="T441" s="101"/>
      <c r="U441" s="101"/>
      <c r="V441" s="101"/>
      <c r="W441" s="101"/>
      <c r="X441" s="101"/>
      <c r="Y441" s="108"/>
      <c r="Z441" s="101"/>
      <c r="AA441" s="101"/>
      <c r="AB441" s="101"/>
      <c r="AC441" s="101"/>
      <c r="AD441" s="101"/>
      <c r="AE441" s="101"/>
    </row>
    <row r="442">
      <c r="A442" s="101"/>
      <c r="B442" s="101"/>
      <c r="C442" s="104"/>
      <c r="D442" s="105"/>
      <c r="E442" s="106"/>
      <c r="F442" s="101"/>
      <c r="G442" s="101"/>
      <c r="H442" s="107"/>
      <c r="I442" s="107"/>
      <c r="J442" s="101"/>
      <c r="K442" s="107"/>
      <c r="L442" s="107"/>
      <c r="M442" s="101"/>
      <c r="N442" s="101"/>
      <c r="O442" s="101"/>
      <c r="P442" s="101"/>
      <c r="Q442" s="104"/>
      <c r="R442" s="104"/>
      <c r="S442" s="104"/>
      <c r="T442" s="101"/>
      <c r="U442" s="101"/>
      <c r="V442" s="101"/>
      <c r="W442" s="101"/>
      <c r="X442" s="101"/>
      <c r="Y442" s="108"/>
      <c r="Z442" s="101"/>
      <c r="AA442" s="101"/>
      <c r="AB442" s="101"/>
      <c r="AC442" s="101"/>
      <c r="AD442" s="101"/>
      <c r="AE442" s="101"/>
    </row>
    <row r="443">
      <c r="A443" s="101"/>
      <c r="B443" s="101"/>
      <c r="C443" s="104"/>
      <c r="D443" s="105"/>
      <c r="E443" s="106"/>
      <c r="F443" s="101"/>
      <c r="G443" s="101"/>
      <c r="H443" s="107"/>
      <c r="I443" s="107"/>
      <c r="J443" s="101"/>
      <c r="K443" s="107"/>
      <c r="L443" s="107"/>
      <c r="M443" s="101"/>
      <c r="N443" s="101"/>
      <c r="O443" s="101"/>
      <c r="P443" s="101"/>
      <c r="Q443" s="104"/>
      <c r="R443" s="104"/>
      <c r="S443" s="104"/>
      <c r="T443" s="101"/>
      <c r="U443" s="101"/>
      <c r="V443" s="101"/>
      <c r="W443" s="101"/>
      <c r="X443" s="101"/>
      <c r="Y443" s="108"/>
      <c r="Z443" s="101"/>
      <c r="AA443" s="101"/>
      <c r="AB443" s="101"/>
      <c r="AC443" s="101"/>
      <c r="AD443" s="101"/>
      <c r="AE443" s="101"/>
    </row>
    <row r="444">
      <c r="A444" s="101"/>
      <c r="B444" s="101"/>
      <c r="C444" s="104"/>
      <c r="D444" s="105"/>
      <c r="E444" s="106"/>
      <c r="F444" s="101"/>
      <c r="G444" s="101"/>
      <c r="H444" s="107"/>
      <c r="I444" s="107"/>
      <c r="J444" s="101"/>
      <c r="K444" s="107"/>
      <c r="L444" s="107"/>
      <c r="M444" s="101"/>
      <c r="N444" s="101"/>
      <c r="O444" s="101"/>
      <c r="P444" s="101"/>
      <c r="Q444" s="104"/>
      <c r="R444" s="104"/>
      <c r="S444" s="104"/>
      <c r="T444" s="101"/>
      <c r="U444" s="101"/>
      <c r="V444" s="101"/>
      <c r="W444" s="101"/>
      <c r="X444" s="101"/>
      <c r="Y444" s="108"/>
      <c r="Z444" s="101"/>
      <c r="AA444" s="101"/>
      <c r="AB444" s="101"/>
      <c r="AC444" s="101"/>
      <c r="AD444" s="101"/>
      <c r="AE444" s="101"/>
    </row>
    <row r="445">
      <c r="A445" s="101"/>
      <c r="B445" s="101"/>
      <c r="C445" s="104"/>
      <c r="D445" s="105"/>
      <c r="E445" s="106"/>
      <c r="F445" s="101"/>
      <c r="G445" s="101"/>
      <c r="H445" s="107"/>
      <c r="I445" s="107"/>
      <c r="J445" s="101"/>
      <c r="K445" s="107"/>
      <c r="L445" s="107"/>
      <c r="M445" s="101"/>
      <c r="N445" s="101"/>
      <c r="O445" s="101"/>
      <c r="P445" s="101"/>
      <c r="Q445" s="104"/>
      <c r="R445" s="104"/>
      <c r="S445" s="104"/>
      <c r="T445" s="101"/>
      <c r="U445" s="101"/>
      <c r="V445" s="101"/>
      <c r="W445" s="101"/>
      <c r="X445" s="101"/>
      <c r="Y445" s="108"/>
      <c r="Z445" s="101"/>
      <c r="AA445" s="101"/>
      <c r="AB445" s="101"/>
      <c r="AC445" s="101"/>
      <c r="AD445" s="101"/>
      <c r="AE445" s="101"/>
    </row>
    <row r="446">
      <c r="A446" s="101"/>
      <c r="B446" s="101"/>
      <c r="C446" s="104"/>
      <c r="D446" s="105"/>
      <c r="E446" s="106"/>
      <c r="F446" s="101"/>
      <c r="G446" s="101"/>
      <c r="H446" s="107"/>
      <c r="I446" s="107"/>
      <c r="J446" s="101"/>
      <c r="K446" s="107"/>
      <c r="L446" s="107"/>
      <c r="M446" s="101"/>
      <c r="N446" s="101"/>
      <c r="O446" s="101"/>
      <c r="P446" s="101"/>
      <c r="Q446" s="104"/>
      <c r="R446" s="104"/>
      <c r="S446" s="104"/>
      <c r="T446" s="101"/>
      <c r="U446" s="101"/>
      <c r="V446" s="101"/>
      <c r="W446" s="101"/>
      <c r="X446" s="101"/>
      <c r="Y446" s="108"/>
      <c r="Z446" s="101"/>
      <c r="AA446" s="101"/>
      <c r="AB446" s="101"/>
      <c r="AC446" s="101"/>
      <c r="AD446" s="101"/>
      <c r="AE446" s="101"/>
    </row>
    <row r="447">
      <c r="A447" s="101"/>
      <c r="B447" s="101"/>
      <c r="C447" s="104"/>
      <c r="D447" s="105"/>
      <c r="E447" s="106"/>
      <c r="F447" s="101"/>
      <c r="G447" s="101"/>
      <c r="H447" s="107"/>
      <c r="I447" s="107"/>
      <c r="J447" s="101"/>
      <c r="K447" s="107"/>
      <c r="L447" s="107"/>
      <c r="M447" s="101"/>
      <c r="N447" s="101"/>
      <c r="O447" s="101"/>
      <c r="P447" s="101"/>
      <c r="Q447" s="104"/>
      <c r="R447" s="104"/>
      <c r="S447" s="104"/>
      <c r="T447" s="101"/>
      <c r="U447" s="101"/>
      <c r="V447" s="101"/>
      <c r="W447" s="101"/>
      <c r="X447" s="101"/>
      <c r="Y447" s="108"/>
      <c r="Z447" s="101"/>
      <c r="AA447" s="101"/>
      <c r="AB447" s="101"/>
      <c r="AC447" s="101"/>
      <c r="AD447" s="101"/>
      <c r="AE447" s="101"/>
    </row>
    <row r="448">
      <c r="A448" s="101"/>
      <c r="B448" s="101"/>
      <c r="C448" s="104"/>
      <c r="D448" s="105"/>
      <c r="E448" s="106"/>
      <c r="F448" s="101"/>
      <c r="G448" s="101"/>
      <c r="H448" s="107"/>
      <c r="I448" s="107"/>
      <c r="J448" s="101"/>
      <c r="K448" s="107"/>
      <c r="L448" s="107"/>
      <c r="M448" s="101"/>
      <c r="N448" s="101"/>
      <c r="O448" s="101"/>
      <c r="P448" s="101"/>
      <c r="Q448" s="104"/>
      <c r="R448" s="104"/>
      <c r="S448" s="104"/>
      <c r="T448" s="101"/>
      <c r="U448" s="101"/>
      <c r="V448" s="101"/>
      <c r="W448" s="101"/>
      <c r="X448" s="101"/>
      <c r="Y448" s="108"/>
      <c r="Z448" s="101"/>
      <c r="AA448" s="101"/>
      <c r="AB448" s="101"/>
      <c r="AC448" s="101"/>
      <c r="AD448" s="101"/>
      <c r="AE448" s="101"/>
    </row>
    <row r="449">
      <c r="A449" s="101"/>
      <c r="B449" s="101"/>
      <c r="C449" s="104"/>
      <c r="D449" s="105"/>
      <c r="E449" s="106"/>
      <c r="F449" s="101"/>
      <c r="G449" s="101"/>
      <c r="H449" s="107"/>
      <c r="I449" s="107"/>
      <c r="J449" s="101"/>
      <c r="K449" s="107"/>
      <c r="L449" s="107"/>
      <c r="M449" s="101"/>
      <c r="N449" s="101"/>
      <c r="O449" s="101"/>
      <c r="P449" s="101"/>
      <c r="Q449" s="104"/>
      <c r="R449" s="104"/>
      <c r="S449" s="104"/>
      <c r="T449" s="101"/>
      <c r="U449" s="101"/>
      <c r="V449" s="101"/>
      <c r="W449" s="101"/>
      <c r="X449" s="101"/>
      <c r="Y449" s="108"/>
      <c r="Z449" s="101"/>
      <c r="AA449" s="101"/>
      <c r="AB449" s="101"/>
      <c r="AC449" s="101"/>
      <c r="AD449" s="101"/>
      <c r="AE449" s="101"/>
    </row>
    <row r="450">
      <c r="A450" s="101"/>
      <c r="B450" s="101"/>
      <c r="C450" s="104"/>
      <c r="D450" s="105"/>
      <c r="E450" s="106"/>
      <c r="F450" s="101"/>
      <c r="G450" s="101"/>
      <c r="H450" s="107"/>
      <c r="I450" s="107"/>
      <c r="J450" s="101"/>
      <c r="K450" s="107"/>
      <c r="L450" s="107"/>
      <c r="M450" s="101"/>
      <c r="N450" s="101"/>
      <c r="O450" s="101"/>
      <c r="P450" s="101"/>
      <c r="Q450" s="104"/>
      <c r="R450" s="104"/>
      <c r="S450" s="104"/>
      <c r="T450" s="101"/>
      <c r="U450" s="101"/>
      <c r="V450" s="101"/>
      <c r="W450" s="101"/>
      <c r="X450" s="101"/>
      <c r="Y450" s="108"/>
      <c r="Z450" s="101"/>
      <c r="AA450" s="101"/>
      <c r="AB450" s="101"/>
      <c r="AC450" s="101"/>
      <c r="AD450" s="101"/>
      <c r="AE450" s="101"/>
    </row>
    <row r="451">
      <c r="A451" s="101"/>
      <c r="B451" s="101"/>
      <c r="C451" s="104"/>
      <c r="D451" s="105"/>
      <c r="E451" s="106"/>
      <c r="F451" s="101"/>
      <c r="G451" s="101"/>
      <c r="H451" s="107"/>
      <c r="I451" s="107"/>
      <c r="J451" s="101"/>
      <c r="K451" s="107"/>
      <c r="L451" s="107"/>
      <c r="M451" s="101"/>
      <c r="N451" s="101"/>
      <c r="O451" s="101"/>
      <c r="P451" s="101"/>
      <c r="Q451" s="104"/>
      <c r="R451" s="104"/>
      <c r="S451" s="104"/>
      <c r="T451" s="101"/>
      <c r="U451" s="101"/>
      <c r="V451" s="101"/>
      <c r="W451" s="101"/>
      <c r="X451" s="101"/>
      <c r="Y451" s="108"/>
      <c r="Z451" s="101"/>
      <c r="AA451" s="101"/>
      <c r="AB451" s="101"/>
      <c r="AC451" s="101"/>
      <c r="AD451" s="101"/>
      <c r="AE451" s="101"/>
    </row>
    <row r="452">
      <c r="A452" s="101"/>
      <c r="B452" s="101"/>
      <c r="C452" s="104"/>
      <c r="D452" s="105"/>
      <c r="E452" s="106"/>
      <c r="F452" s="101"/>
      <c r="G452" s="101"/>
      <c r="H452" s="107"/>
      <c r="I452" s="107"/>
      <c r="J452" s="101"/>
      <c r="K452" s="107"/>
      <c r="L452" s="107"/>
      <c r="M452" s="101"/>
      <c r="N452" s="101"/>
      <c r="O452" s="101"/>
      <c r="P452" s="101"/>
      <c r="Q452" s="104"/>
      <c r="R452" s="104"/>
      <c r="S452" s="104"/>
      <c r="T452" s="101"/>
      <c r="U452" s="101"/>
      <c r="V452" s="101"/>
      <c r="W452" s="101"/>
      <c r="X452" s="101"/>
      <c r="Y452" s="108"/>
      <c r="Z452" s="101"/>
      <c r="AA452" s="101"/>
      <c r="AB452" s="101"/>
      <c r="AC452" s="101"/>
      <c r="AD452" s="101"/>
      <c r="AE452" s="101"/>
    </row>
    <row r="453">
      <c r="A453" s="101"/>
      <c r="B453" s="101"/>
      <c r="C453" s="104"/>
      <c r="D453" s="105"/>
      <c r="E453" s="106"/>
      <c r="F453" s="101"/>
      <c r="G453" s="101"/>
      <c r="H453" s="107"/>
      <c r="I453" s="107"/>
      <c r="J453" s="101"/>
      <c r="K453" s="107"/>
      <c r="L453" s="107"/>
      <c r="M453" s="101"/>
      <c r="N453" s="101"/>
      <c r="O453" s="101"/>
      <c r="P453" s="101"/>
      <c r="Q453" s="104"/>
      <c r="R453" s="104"/>
      <c r="S453" s="104"/>
      <c r="T453" s="101"/>
      <c r="U453" s="101"/>
      <c r="V453" s="101"/>
      <c r="W453" s="101"/>
      <c r="X453" s="101"/>
      <c r="Y453" s="108"/>
      <c r="Z453" s="101"/>
      <c r="AA453" s="101"/>
      <c r="AB453" s="101"/>
      <c r="AC453" s="101"/>
      <c r="AD453" s="101"/>
      <c r="AE453" s="101"/>
    </row>
    <row r="454">
      <c r="A454" s="101"/>
      <c r="B454" s="101"/>
      <c r="C454" s="104"/>
      <c r="D454" s="105"/>
      <c r="E454" s="106"/>
      <c r="F454" s="101"/>
      <c r="G454" s="101"/>
      <c r="H454" s="107"/>
      <c r="I454" s="107"/>
      <c r="J454" s="101"/>
      <c r="K454" s="107"/>
      <c r="L454" s="107"/>
      <c r="M454" s="101"/>
      <c r="N454" s="101"/>
      <c r="O454" s="101"/>
      <c r="P454" s="101"/>
      <c r="Q454" s="104"/>
      <c r="R454" s="104"/>
      <c r="S454" s="104"/>
      <c r="T454" s="101"/>
      <c r="U454" s="101"/>
      <c r="V454" s="101"/>
      <c r="W454" s="101"/>
      <c r="X454" s="101"/>
      <c r="Y454" s="108"/>
      <c r="Z454" s="101"/>
      <c r="AA454" s="101"/>
      <c r="AB454" s="101"/>
      <c r="AC454" s="101"/>
      <c r="AD454" s="101"/>
      <c r="AE454" s="101"/>
    </row>
    <row r="455">
      <c r="A455" s="101"/>
      <c r="B455" s="101"/>
      <c r="C455" s="104"/>
      <c r="D455" s="105"/>
      <c r="E455" s="106"/>
      <c r="F455" s="101"/>
      <c r="G455" s="101"/>
      <c r="H455" s="107"/>
      <c r="I455" s="107"/>
      <c r="J455" s="101"/>
      <c r="K455" s="107"/>
      <c r="L455" s="107"/>
      <c r="M455" s="101"/>
      <c r="N455" s="101"/>
      <c r="O455" s="101"/>
      <c r="P455" s="101"/>
      <c r="Q455" s="104"/>
      <c r="R455" s="104"/>
      <c r="S455" s="104"/>
      <c r="T455" s="101"/>
      <c r="U455" s="101"/>
      <c r="V455" s="101"/>
      <c r="W455" s="101"/>
      <c r="X455" s="101"/>
      <c r="Y455" s="108"/>
      <c r="Z455" s="101"/>
      <c r="AA455" s="101"/>
      <c r="AB455" s="101"/>
      <c r="AC455" s="101"/>
      <c r="AD455" s="101"/>
      <c r="AE455" s="101"/>
    </row>
    <row r="456">
      <c r="A456" s="101"/>
      <c r="B456" s="101"/>
      <c r="C456" s="104"/>
      <c r="D456" s="105"/>
      <c r="E456" s="106"/>
      <c r="F456" s="101"/>
      <c r="G456" s="101"/>
      <c r="H456" s="107"/>
      <c r="I456" s="107"/>
      <c r="J456" s="101"/>
      <c r="K456" s="107"/>
      <c r="L456" s="107"/>
      <c r="M456" s="101"/>
      <c r="N456" s="101"/>
      <c r="O456" s="101"/>
      <c r="P456" s="101"/>
      <c r="Q456" s="104"/>
      <c r="R456" s="104"/>
      <c r="S456" s="104"/>
      <c r="T456" s="101"/>
      <c r="U456" s="101"/>
      <c r="V456" s="101"/>
      <c r="W456" s="101"/>
      <c r="X456" s="101"/>
      <c r="Y456" s="108"/>
      <c r="Z456" s="101"/>
      <c r="AA456" s="101"/>
      <c r="AB456" s="101"/>
      <c r="AC456" s="101"/>
      <c r="AD456" s="101"/>
      <c r="AE456" s="101"/>
    </row>
    <row r="457">
      <c r="A457" s="101"/>
      <c r="B457" s="101"/>
      <c r="C457" s="104"/>
      <c r="D457" s="105"/>
      <c r="E457" s="106"/>
      <c r="F457" s="101"/>
      <c r="G457" s="101"/>
      <c r="H457" s="107"/>
      <c r="I457" s="107"/>
      <c r="J457" s="101"/>
      <c r="K457" s="107"/>
      <c r="L457" s="107"/>
      <c r="M457" s="101"/>
      <c r="N457" s="101"/>
      <c r="O457" s="101"/>
      <c r="P457" s="101"/>
      <c r="Q457" s="104"/>
      <c r="R457" s="104"/>
      <c r="S457" s="104"/>
      <c r="T457" s="101"/>
      <c r="U457" s="101"/>
      <c r="V457" s="101"/>
      <c r="W457" s="101"/>
      <c r="X457" s="101"/>
      <c r="Y457" s="108"/>
      <c r="Z457" s="101"/>
      <c r="AA457" s="101"/>
      <c r="AB457" s="101"/>
      <c r="AC457" s="101"/>
      <c r="AD457" s="101"/>
      <c r="AE457" s="101"/>
    </row>
    <row r="458">
      <c r="A458" s="101"/>
      <c r="B458" s="101"/>
      <c r="C458" s="104"/>
      <c r="D458" s="105"/>
      <c r="E458" s="106"/>
      <c r="F458" s="101"/>
      <c r="G458" s="101"/>
      <c r="H458" s="107"/>
      <c r="I458" s="107"/>
      <c r="J458" s="101"/>
      <c r="K458" s="107"/>
      <c r="L458" s="107"/>
      <c r="M458" s="101"/>
      <c r="N458" s="101"/>
      <c r="O458" s="101"/>
      <c r="P458" s="101"/>
      <c r="Q458" s="104"/>
      <c r="R458" s="104"/>
      <c r="S458" s="104"/>
      <c r="T458" s="101"/>
      <c r="U458" s="101"/>
      <c r="V458" s="101"/>
      <c r="W458" s="101"/>
      <c r="X458" s="101"/>
      <c r="Y458" s="108"/>
      <c r="Z458" s="101"/>
      <c r="AA458" s="101"/>
      <c r="AB458" s="101"/>
      <c r="AC458" s="101"/>
      <c r="AD458" s="101"/>
      <c r="AE458" s="101"/>
    </row>
    <row r="459">
      <c r="A459" s="101"/>
      <c r="B459" s="101"/>
      <c r="C459" s="104"/>
      <c r="D459" s="105"/>
      <c r="E459" s="106"/>
      <c r="F459" s="101"/>
      <c r="G459" s="101"/>
      <c r="H459" s="107"/>
      <c r="I459" s="107"/>
      <c r="J459" s="101"/>
      <c r="K459" s="107"/>
      <c r="L459" s="107"/>
      <c r="M459" s="101"/>
      <c r="N459" s="101"/>
      <c r="O459" s="101"/>
      <c r="P459" s="101"/>
      <c r="Q459" s="104"/>
      <c r="R459" s="104"/>
      <c r="S459" s="104"/>
      <c r="T459" s="101"/>
      <c r="U459" s="101"/>
      <c r="V459" s="101"/>
      <c r="W459" s="101"/>
      <c r="X459" s="101"/>
      <c r="Y459" s="108"/>
      <c r="Z459" s="101"/>
      <c r="AA459" s="101"/>
      <c r="AB459" s="101"/>
      <c r="AC459" s="101"/>
      <c r="AD459" s="101"/>
      <c r="AE459" s="101"/>
    </row>
    <row r="460">
      <c r="A460" s="101"/>
      <c r="B460" s="101"/>
      <c r="C460" s="104"/>
      <c r="D460" s="105"/>
      <c r="E460" s="106"/>
      <c r="F460" s="101"/>
      <c r="G460" s="101"/>
      <c r="H460" s="107"/>
      <c r="I460" s="107"/>
      <c r="J460" s="101"/>
      <c r="K460" s="107"/>
      <c r="L460" s="107"/>
      <c r="M460" s="101"/>
      <c r="N460" s="101"/>
      <c r="O460" s="101"/>
      <c r="P460" s="101"/>
      <c r="Q460" s="104"/>
      <c r="R460" s="104"/>
      <c r="S460" s="104"/>
      <c r="T460" s="101"/>
      <c r="U460" s="101"/>
      <c r="V460" s="101"/>
      <c r="W460" s="101"/>
      <c r="X460" s="101"/>
      <c r="Y460" s="108"/>
      <c r="Z460" s="101"/>
      <c r="AA460" s="101"/>
      <c r="AB460" s="101"/>
      <c r="AC460" s="101"/>
      <c r="AD460" s="101"/>
      <c r="AE460" s="101"/>
    </row>
    <row r="461">
      <c r="A461" s="101"/>
      <c r="B461" s="101"/>
      <c r="C461" s="104"/>
      <c r="D461" s="105"/>
      <c r="E461" s="106"/>
      <c r="F461" s="101"/>
      <c r="G461" s="101"/>
      <c r="H461" s="107"/>
      <c r="I461" s="107"/>
      <c r="J461" s="101"/>
      <c r="K461" s="107"/>
      <c r="L461" s="107"/>
      <c r="M461" s="101"/>
      <c r="N461" s="101"/>
      <c r="O461" s="101"/>
      <c r="P461" s="101"/>
      <c r="Q461" s="104"/>
      <c r="R461" s="104"/>
      <c r="S461" s="104"/>
      <c r="T461" s="101"/>
      <c r="U461" s="101"/>
      <c r="V461" s="101"/>
      <c r="W461" s="101"/>
      <c r="X461" s="101"/>
      <c r="Y461" s="108"/>
      <c r="Z461" s="101"/>
      <c r="AA461" s="101"/>
      <c r="AB461" s="101"/>
      <c r="AC461" s="101"/>
      <c r="AD461" s="101"/>
      <c r="AE461" s="101"/>
    </row>
  </sheetData>
  <mergeCells count="482">
    <mergeCell ref="H3:H4"/>
    <mergeCell ref="I3:I4"/>
    <mergeCell ref="J3:J4"/>
    <mergeCell ref="K3:K4"/>
    <mergeCell ref="L3:L4"/>
    <mergeCell ref="M3:O3"/>
    <mergeCell ref="P3:P4"/>
    <mergeCell ref="Z3:Z4"/>
    <mergeCell ref="AA3:AA4"/>
    <mergeCell ref="AB3:AB4"/>
    <mergeCell ref="AC3:AC4"/>
    <mergeCell ref="AD3:AD4"/>
    <mergeCell ref="AE3:AE4"/>
    <mergeCell ref="Q3:Q4"/>
    <mergeCell ref="R3:R4"/>
    <mergeCell ref="S3:S4"/>
    <mergeCell ref="U3:V3"/>
    <mergeCell ref="W3:W4"/>
    <mergeCell ref="X3:X4"/>
    <mergeCell ref="Y3:Y4"/>
    <mergeCell ref="A3:A4"/>
    <mergeCell ref="B3:B4"/>
    <mergeCell ref="C3:C4"/>
    <mergeCell ref="D3:D4"/>
    <mergeCell ref="E3:E4"/>
    <mergeCell ref="F3:F4"/>
    <mergeCell ref="G3:G4"/>
    <mergeCell ref="H5:H6"/>
    <mergeCell ref="I5:I6"/>
    <mergeCell ref="J5:J6"/>
    <mergeCell ref="K5:K6"/>
    <mergeCell ref="L5:L6"/>
    <mergeCell ref="M5:M6"/>
    <mergeCell ref="R5:R6"/>
    <mergeCell ref="A5:A6"/>
    <mergeCell ref="B5:B6"/>
    <mergeCell ref="C5:C6"/>
    <mergeCell ref="D5:D6"/>
    <mergeCell ref="E5:E6"/>
    <mergeCell ref="F5:F6"/>
    <mergeCell ref="G5:G6"/>
    <mergeCell ref="H9:H10"/>
    <mergeCell ref="I9:I10"/>
    <mergeCell ref="J9:J10"/>
    <mergeCell ref="K9:K10"/>
    <mergeCell ref="L9:L10"/>
    <mergeCell ref="M9:M10"/>
    <mergeCell ref="R9:R10"/>
    <mergeCell ref="A9:A10"/>
    <mergeCell ref="B9:B10"/>
    <mergeCell ref="C9:C10"/>
    <mergeCell ref="D9:D10"/>
    <mergeCell ref="E9:E10"/>
    <mergeCell ref="F9:F10"/>
    <mergeCell ref="G9:G10"/>
    <mergeCell ref="A16:A17"/>
    <mergeCell ref="B16:B17"/>
    <mergeCell ref="C16:C17"/>
    <mergeCell ref="D16:D17"/>
    <mergeCell ref="E16:E17"/>
    <mergeCell ref="F16:F17"/>
    <mergeCell ref="G16:G17"/>
    <mergeCell ref="R18:R20"/>
    <mergeCell ref="R21:R22"/>
    <mergeCell ref="H16:H17"/>
    <mergeCell ref="I16:I17"/>
    <mergeCell ref="J16:J17"/>
    <mergeCell ref="K16:K17"/>
    <mergeCell ref="L16:L17"/>
    <mergeCell ref="M16:M17"/>
    <mergeCell ref="R16:R17"/>
    <mergeCell ref="H21:H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R25:R26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A25:A26"/>
    <mergeCell ref="B25:B26"/>
    <mergeCell ref="C25:C26"/>
    <mergeCell ref="D25:D26"/>
    <mergeCell ref="E25:E26"/>
    <mergeCell ref="F25:F26"/>
    <mergeCell ref="G25:G26"/>
    <mergeCell ref="H27:H28"/>
    <mergeCell ref="I27:I28"/>
    <mergeCell ref="J27:J28"/>
    <mergeCell ref="K27:K28"/>
    <mergeCell ref="L27:L28"/>
    <mergeCell ref="M27:M28"/>
    <mergeCell ref="A27:A28"/>
    <mergeCell ref="B27:B28"/>
    <mergeCell ref="C27:C28"/>
    <mergeCell ref="D27:D28"/>
    <mergeCell ref="E27:E28"/>
    <mergeCell ref="F27:F28"/>
    <mergeCell ref="G27:G28"/>
    <mergeCell ref="R67:R68"/>
    <mergeCell ref="R69:R70"/>
    <mergeCell ref="R53:R54"/>
    <mergeCell ref="R55:R56"/>
    <mergeCell ref="R57:R58"/>
    <mergeCell ref="R59:R60"/>
    <mergeCell ref="R61:R62"/>
    <mergeCell ref="R63:R64"/>
    <mergeCell ref="R65:R66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S31:S32"/>
    <mergeCell ref="R31:R32"/>
    <mergeCell ref="Q33:Q34"/>
    <mergeCell ref="R33:R34"/>
    <mergeCell ref="S33:S34"/>
    <mergeCell ref="Q35:Q36"/>
    <mergeCell ref="R35:R36"/>
    <mergeCell ref="R37:R38"/>
    <mergeCell ref="Q37:Q38"/>
    <mergeCell ref="Q39:Q40"/>
    <mergeCell ref="R39:R40"/>
    <mergeCell ref="Q41:Q42"/>
    <mergeCell ref="R41:R42"/>
    <mergeCell ref="Q43:Q44"/>
    <mergeCell ref="R43:R44"/>
    <mergeCell ref="Q45:Q46"/>
    <mergeCell ref="R45:R46"/>
    <mergeCell ref="Q47:Q48"/>
    <mergeCell ref="R47:R48"/>
    <mergeCell ref="Q49:Q50"/>
    <mergeCell ref="R49:R50"/>
    <mergeCell ref="R51:R52"/>
    <mergeCell ref="Q65:Q66"/>
    <mergeCell ref="Q67:Q68"/>
    <mergeCell ref="Q69:Q70"/>
    <mergeCell ref="Q51:Q52"/>
    <mergeCell ref="Q53:Q54"/>
    <mergeCell ref="Q55:Q56"/>
    <mergeCell ref="Q57:Q58"/>
    <mergeCell ref="Q59:Q60"/>
    <mergeCell ref="Q61:Q62"/>
    <mergeCell ref="Q63:Q64"/>
    <mergeCell ref="H31:H32"/>
    <mergeCell ref="I31:I32"/>
    <mergeCell ref="J31:J32"/>
    <mergeCell ref="K31:K32"/>
    <mergeCell ref="L31:L32"/>
    <mergeCell ref="M31:M32"/>
    <mergeCell ref="A31:A32"/>
    <mergeCell ref="B31:B32"/>
    <mergeCell ref="C31:C32"/>
    <mergeCell ref="D31:D32"/>
    <mergeCell ref="E31:E32"/>
    <mergeCell ref="F31:F32"/>
    <mergeCell ref="G31:G32"/>
    <mergeCell ref="H33:H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A35:A36"/>
    <mergeCell ref="B35:B36"/>
    <mergeCell ref="C35:C36"/>
    <mergeCell ref="D35:D36"/>
    <mergeCell ref="E35:E36"/>
    <mergeCell ref="F35:F36"/>
    <mergeCell ref="G35:G36"/>
    <mergeCell ref="H37:H38"/>
    <mergeCell ref="I37:I38"/>
    <mergeCell ref="J37:J38"/>
    <mergeCell ref="K37:K38"/>
    <mergeCell ref="L37:L38"/>
    <mergeCell ref="M37:M38"/>
    <mergeCell ref="A37:A38"/>
    <mergeCell ref="B37:B38"/>
    <mergeCell ref="C37:C38"/>
    <mergeCell ref="D37:D38"/>
    <mergeCell ref="E37:E38"/>
    <mergeCell ref="F37:F38"/>
    <mergeCell ref="G37:G38"/>
    <mergeCell ref="H39:H40"/>
    <mergeCell ref="I39:I40"/>
    <mergeCell ref="J39:J40"/>
    <mergeCell ref="K39:K40"/>
    <mergeCell ref="L39:L40"/>
    <mergeCell ref="M39:M40"/>
    <mergeCell ref="A39:A40"/>
    <mergeCell ref="B39:B40"/>
    <mergeCell ref="C39:C40"/>
    <mergeCell ref="D39:D40"/>
    <mergeCell ref="E39:E40"/>
    <mergeCell ref="F39:F40"/>
    <mergeCell ref="G39:G40"/>
    <mergeCell ref="H41:H42"/>
    <mergeCell ref="I41:I42"/>
    <mergeCell ref="J41:J42"/>
    <mergeCell ref="K41:K42"/>
    <mergeCell ref="L41:L42"/>
    <mergeCell ref="M41:M42"/>
    <mergeCell ref="A41:A42"/>
    <mergeCell ref="B41:B42"/>
    <mergeCell ref="C41:C42"/>
    <mergeCell ref="D41:D42"/>
    <mergeCell ref="E41:E42"/>
    <mergeCell ref="F41:F42"/>
    <mergeCell ref="G41:G42"/>
    <mergeCell ref="H43:H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G43:G44"/>
    <mergeCell ref="H18:H20"/>
    <mergeCell ref="I18:I20"/>
    <mergeCell ref="J18:J20"/>
    <mergeCell ref="K18:K20"/>
    <mergeCell ref="L18:L20"/>
    <mergeCell ref="M18:M20"/>
    <mergeCell ref="A18:A20"/>
    <mergeCell ref="B18:B20"/>
    <mergeCell ref="C18:C20"/>
    <mergeCell ref="D18:D20"/>
    <mergeCell ref="E18:E20"/>
    <mergeCell ref="F18:F20"/>
    <mergeCell ref="G18:G20"/>
    <mergeCell ref="H59:H60"/>
    <mergeCell ref="I59:I60"/>
    <mergeCell ref="J59:J60"/>
    <mergeCell ref="K59:K60"/>
    <mergeCell ref="M59:M60"/>
    <mergeCell ref="A59:A60"/>
    <mergeCell ref="B59:B60"/>
    <mergeCell ref="C59:C60"/>
    <mergeCell ref="D59:D60"/>
    <mergeCell ref="E59:E60"/>
    <mergeCell ref="F59:F60"/>
    <mergeCell ref="G59:G60"/>
    <mergeCell ref="H61:H62"/>
    <mergeCell ref="I61:I62"/>
    <mergeCell ref="J61:J62"/>
    <mergeCell ref="K61:K62"/>
    <mergeCell ref="M61:M62"/>
    <mergeCell ref="A61:A62"/>
    <mergeCell ref="B61:B62"/>
    <mergeCell ref="C61:C62"/>
    <mergeCell ref="D61:D62"/>
    <mergeCell ref="E61:E62"/>
    <mergeCell ref="F61:F62"/>
    <mergeCell ref="G61:G62"/>
    <mergeCell ref="H63:H64"/>
    <mergeCell ref="I63:I64"/>
    <mergeCell ref="J63:J64"/>
    <mergeCell ref="K63:K64"/>
    <mergeCell ref="M63:M64"/>
    <mergeCell ref="A63:A64"/>
    <mergeCell ref="B63:B64"/>
    <mergeCell ref="C63:C64"/>
    <mergeCell ref="D63:D64"/>
    <mergeCell ref="E63:E64"/>
    <mergeCell ref="F63:F64"/>
    <mergeCell ref="G63:G64"/>
    <mergeCell ref="H65:H66"/>
    <mergeCell ref="I65:I66"/>
    <mergeCell ref="J65:J66"/>
    <mergeCell ref="K65:K66"/>
    <mergeCell ref="M65:M66"/>
    <mergeCell ref="A65:A66"/>
    <mergeCell ref="B65:B66"/>
    <mergeCell ref="C65:C66"/>
    <mergeCell ref="D65:D66"/>
    <mergeCell ref="E65:E66"/>
    <mergeCell ref="F65:F66"/>
    <mergeCell ref="G65:G66"/>
    <mergeCell ref="H67:H68"/>
    <mergeCell ref="I67:I68"/>
    <mergeCell ref="J67:J68"/>
    <mergeCell ref="K67:K68"/>
    <mergeCell ref="M67:M68"/>
    <mergeCell ref="A67:A68"/>
    <mergeCell ref="B67:B68"/>
    <mergeCell ref="C67:C68"/>
    <mergeCell ref="D67:D68"/>
    <mergeCell ref="E67:E68"/>
    <mergeCell ref="F67:F68"/>
    <mergeCell ref="G67:G68"/>
    <mergeCell ref="H7:H8"/>
    <mergeCell ref="I7:I8"/>
    <mergeCell ref="J7:J8"/>
    <mergeCell ref="K7:K8"/>
    <mergeCell ref="L7:L8"/>
    <mergeCell ref="M7:M8"/>
    <mergeCell ref="A7:A8"/>
    <mergeCell ref="B7:B8"/>
    <mergeCell ref="C7:C8"/>
    <mergeCell ref="D7:D8"/>
    <mergeCell ref="E7:E8"/>
    <mergeCell ref="F7:F8"/>
    <mergeCell ref="G7:G8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A13:A14"/>
    <mergeCell ref="B13:B14"/>
    <mergeCell ref="C13:C14"/>
    <mergeCell ref="D13:D14"/>
    <mergeCell ref="E13:E14"/>
    <mergeCell ref="F13:F14"/>
    <mergeCell ref="G13:G14"/>
    <mergeCell ref="H69:H70"/>
    <mergeCell ref="I69:I70"/>
    <mergeCell ref="J69:J70"/>
    <mergeCell ref="K69:K70"/>
    <mergeCell ref="M69:M70"/>
    <mergeCell ref="A69:A70"/>
    <mergeCell ref="B69:B70"/>
    <mergeCell ref="C69:C70"/>
    <mergeCell ref="D69:D70"/>
    <mergeCell ref="E69:E70"/>
    <mergeCell ref="F69:F70"/>
    <mergeCell ref="G69:G70"/>
    <mergeCell ref="H45:H46"/>
    <mergeCell ref="I45:I46"/>
    <mergeCell ref="J45:J46"/>
    <mergeCell ref="K45:K46"/>
    <mergeCell ref="L45:L46"/>
    <mergeCell ref="M45:M46"/>
    <mergeCell ref="A45:A46"/>
    <mergeCell ref="B45:B46"/>
    <mergeCell ref="C45:C46"/>
    <mergeCell ref="D45:D46"/>
    <mergeCell ref="E45:E46"/>
    <mergeCell ref="F45:F46"/>
    <mergeCell ref="G45:G46"/>
    <mergeCell ref="H47:H48"/>
    <mergeCell ref="I47:I48"/>
    <mergeCell ref="J47:J48"/>
    <mergeCell ref="K47:K48"/>
    <mergeCell ref="L47:L48"/>
    <mergeCell ref="M47:M48"/>
    <mergeCell ref="A47:A48"/>
    <mergeCell ref="B47:B48"/>
    <mergeCell ref="C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9:L50"/>
    <mergeCell ref="M49:M50"/>
    <mergeCell ref="A49:A50"/>
    <mergeCell ref="B49:B50"/>
    <mergeCell ref="C49:C50"/>
    <mergeCell ref="D49:D50"/>
    <mergeCell ref="E49:E50"/>
    <mergeCell ref="F49:F50"/>
    <mergeCell ref="G49:G50"/>
    <mergeCell ref="H51:H52"/>
    <mergeCell ref="I51:I52"/>
    <mergeCell ref="J51:J52"/>
    <mergeCell ref="K51:K52"/>
    <mergeCell ref="L51:L52"/>
    <mergeCell ref="M51:M52"/>
    <mergeCell ref="A51:A52"/>
    <mergeCell ref="B51:B52"/>
    <mergeCell ref="C51:C52"/>
    <mergeCell ref="D51:D52"/>
    <mergeCell ref="E51:E52"/>
    <mergeCell ref="F51:F52"/>
    <mergeCell ref="G51:G52"/>
    <mergeCell ref="H53:H54"/>
    <mergeCell ref="I53:I54"/>
    <mergeCell ref="J53:J54"/>
    <mergeCell ref="K53:K54"/>
    <mergeCell ref="L53:L54"/>
    <mergeCell ref="M53:M54"/>
    <mergeCell ref="A53:A54"/>
    <mergeCell ref="B53:B54"/>
    <mergeCell ref="C53:C54"/>
    <mergeCell ref="D53:D54"/>
    <mergeCell ref="E53:E54"/>
    <mergeCell ref="F53:F54"/>
    <mergeCell ref="G53:G54"/>
    <mergeCell ref="H55:H56"/>
    <mergeCell ref="I55:I56"/>
    <mergeCell ref="J55:J56"/>
    <mergeCell ref="K55:K56"/>
    <mergeCell ref="M55:M56"/>
    <mergeCell ref="A55:A56"/>
    <mergeCell ref="B55:B56"/>
    <mergeCell ref="C55:C56"/>
    <mergeCell ref="D55:D56"/>
    <mergeCell ref="E55:E56"/>
    <mergeCell ref="F55:F56"/>
    <mergeCell ref="G55:G56"/>
    <mergeCell ref="H57:H58"/>
    <mergeCell ref="I57:I58"/>
    <mergeCell ref="J57:J58"/>
    <mergeCell ref="K57:K58"/>
    <mergeCell ref="M57:M58"/>
    <mergeCell ref="A57:A58"/>
    <mergeCell ref="B57:B58"/>
    <mergeCell ref="C57:C58"/>
    <mergeCell ref="D57:D58"/>
    <mergeCell ref="E57:E58"/>
    <mergeCell ref="F57:F58"/>
    <mergeCell ref="G57:G58"/>
  </mergeCells>
  <dataValidations>
    <dataValidation type="list" allowBlank="1" showErrorMessage="1" sqref="G43 G45 G47 G49 G51 G53 G55 G57 G59 G61 G63 G65 G67 G69">
      <formula1>"Actor,Actress,Animal Hobbies,Animator,Art,Author,Beauty,Business,Buzzer,Chef,Comedy,Community,Couple,Culinary,Dads,Dance,Design,DJ Set,Drama,Dubber,Education,Entertainment,Entrepreneur,Family,Fanbase,Fashion,Film,Financial,Foodies,Gaming,Health,Hijab,Home"&amp;" Cook,Illustrator,Informative,Kids,Lifestyle,Marvel Fans,Media,Menfess,Mom,Movie,Movie Maker,Movie Reviewer,Music,Musician,News,Otomotif,Otomotive,Parenting,Parents,Photography,Public Figure,Self Growth,Singer,Sneakers,Sport,Storyteller,Technology,Travel,"&amp;"Visual Art,Vlog,Young Couple,Young Professional,Kpop,Gamers &amp; Lifestyle,Fashion &amp; Lifestyle,Sport &amp; Lifestyle,Beauty &amp; Lifestyle,DIY,Home Living,Expert,athlete,Working Mom,Cosplayer,Make Up Artist,Pet Content Creator,Bapak-bapak"</formula1>
    </dataValidation>
    <dataValidation type="list" allowBlank="1" showErrorMessage="1" sqref="F5 F7 F9 F11 F13 F15:F16 F18 F21 F23 F25 F27 F29 F31 F33 F35 F37 F39 F41 F43 F45 F47 F49 F51 F53 F55 F57 F59 F61 F63 F65 F67 F69">
      <formula1>"Instagram,TikTok,Youtube,X ( Twitter),Facebook"</formula1>
    </dataValidation>
    <dataValidation type="list" allowBlank="1" showErrorMessage="1" sqref="V5:V70">
      <formula1>"Ads,As a Talent,Event attendance,Boost Ads,Brand Ambassador,Bulked Rate,Digital Content Usage,IG Feed Carousel,IG Feed Single Image,IG Live,IG Reels,IG Story Session with Link,IG Story Session without Link,IG Story with Link,IG Story without Link,Tap Link"&amp;" - 1 story,IG TV,IG Video Rate,Link on Bio Placement,Mention &amp; Tag Brand,Mention E-commerce,Mirroring IG TT,Owning Content,TT Live,TT Live with Yellow Cart,TT Video,TT Video + YC,TW Post,TW Post w/ Image,TW Thread,Youtube Short,Youtube Video Built-in/Eps,"&amp;"Youtube Video Full,Youtube Video Product Placement,Post Photo with Komunitas,Post Video with Komunitas,Visit Store Terdekat + Incl. Buying Product,IG Reels Mirroring TikTok,Tiktok Story,Tag Collab Brand IG,Tag Collab Brand TT,YouTube Program (series),YouT"&amp;"ube Full,Boost Ads 30 Days,Series of Recipes,Cooking Demo,Additional Talent,Other,YouTube Adlibs,Transportation Fee,Extra Charge"</formula1>
    </dataValidation>
    <dataValidation type="list" allowBlank="1" showErrorMessage="1" sqref="B43 B45 B47 B49 B51 B53 B55 B57 B59 B61 B63 B65 B67 B69">
      <formula1>"Aliy,Gress,Salwa"</formula1>
    </dataValidation>
    <dataValidation type="list" allowBlank="1" showErrorMessage="1" sqref="B5 B7 B9 B11 B13 B15:B16 B18 B21 B23 B25 B27 B29 B31 B33 B35 B37 B39 B41">
      <formula1>"Aliy,Gress"</formula1>
    </dataValidation>
    <dataValidation type="list" allowBlank="1" showErrorMessage="1" sqref="C5 C7 C9 C11 C13 C15:C16 C18 C21 C23 C25 C27 C29 C31 C33 C35 C37 C39 C41 C43 C45 C47 C49 C51 C53 C55 C57 C59 C61 C63 C65 C67 C69">
      <formula1>"Move to Client,Approved by Client,Unavail,New List,HOLD,Rejected,AVAILABLE,Approaching,Req Client,Need Confirmation,Need Rate Nego,Payment Gateway,Referensi,Replied"</formula1>
    </dataValidation>
    <dataValidation type="list" allowBlank="1" showErrorMessage="1" sqref="G5 G7 G9 G11 G13 G15:G16 G18 G21 G23 G25 G27 G29 G31 G33 G35 G37 G39 G41">
      <formula1>"Actor,Actress,Animal Hobbies,Animator,Art,Author,Beauty,Business,Buzzer,Chef,Comedy,Community,Couple,Culinary,Dads,Dance,Design,DJ Set,Drama,Dubber,Education,Entertainment,Entrepreneur,Family,Fanbase,Fashion,Film,Financial,Foodies,Gaming,Health,Hijab,Home"&amp;" Cook,Illustrator,Informative,Kids,Lifestyle,Marvel Fans,Media,Menfess,Mom,Movie,Movie Maker,Movie Reviewer,Music,Musician,News,Otomotif,Otomotive,Parenting,Parents,Photography,Public Figure,Self Growth,Singer,Sneakers,Sport,Storyteller,Technology,Travel,"&amp;"Visual Art,Vlog,Young Couple,Young Professional,Kpop,Gamers &amp; Lifestyle,Fashion &amp; Lifestyle,Sport &amp; Lifestyle,Beauty &amp; Lifestyle,DIY,Home Living,Expert,athlete,Working Mom,Cosplayer,Make Up Artist,Pet Content Creator"</formula1>
    </dataValidation>
  </dataValidations>
  <hyperlinks>
    <hyperlink r:id="rId1" ref="E5"/>
    <hyperlink r:id="rId2" ref="E7"/>
    <hyperlink r:id="rId3" ref="E9"/>
    <hyperlink r:id="rId4" ref="E11"/>
    <hyperlink r:id="rId5" ref="E13"/>
    <hyperlink r:id="rId6" ref="E15"/>
    <hyperlink r:id="rId7" ref="E16"/>
    <hyperlink r:id="rId8" ref="E18"/>
    <hyperlink r:id="rId9" ref="E21"/>
    <hyperlink r:id="rId10" ref="E23"/>
    <hyperlink r:id="rId11" ref="E25"/>
    <hyperlink r:id="rId12" ref="E27"/>
    <hyperlink r:id="rId13" ref="E29"/>
    <hyperlink r:id="rId14" ref="E31"/>
    <hyperlink r:id="rId15" ref="E33"/>
    <hyperlink r:id="rId16" ref="E35"/>
    <hyperlink r:id="rId17" ref="E37"/>
    <hyperlink r:id="rId18" ref="E39"/>
    <hyperlink r:id="rId19" ref="E41"/>
    <hyperlink r:id="rId20" ref="E43"/>
    <hyperlink r:id="rId21" ref="E45"/>
    <hyperlink r:id="rId22" ref="E47"/>
    <hyperlink r:id="rId23" ref="E49"/>
    <hyperlink r:id="rId24" ref="E51"/>
    <hyperlink r:id="rId25" ref="E53"/>
    <hyperlink r:id="rId26" ref="E55"/>
    <hyperlink r:id="rId27" ref="E57"/>
    <hyperlink r:id="rId28" ref="E59"/>
    <hyperlink r:id="rId29" ref="E61"/>
    <hyperlink r:id="rId30" ref="E63"/>
    <hyperlink r:id="rId31" ref="E65"/>
    <hyperlink r:id="rId32" ref="E67"/>
    <hyperlink r:id="rId33" ref="E69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sheetData>
    <row r="1">
      <c r="A1" s="1"/>
      <c r="B1" s="2"/>
      <c r="C1" s="3"/>
      <c r="D1" s="4"/>
      <c r="E1" s="5"/>
      <c r="F1" s="2"/>
      <c r="G1" s="2"/>
      <c r="H1" s="2"/>
      <c r="I1" s="2"/>
      <c r="J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6"/>
      <c r="Z1" s="7"/>
      <c r="AA1" s="8"/>
      <c r="AB1" s="8"/>
      <c r="AC1" s="8"/>
      <c r="AD1" s="8"/>
      <c r="AE1" s="9"/>
    </row>
    <row r="2">
      <c r="A2" s="10"/>
      <c r="B2" s="11"/>
      <c r="C2" s="12"/>
      <c r="D2" s="13"/>
      <c r="E2" s="14"/>
      <c r="F2" s="11"/>
      <c r="G2" s="11"/>
      <c r="H2" s="11"/>
      <c r="I2" s="11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5"/>
      <c r="Z2" s="16"/>
      <c r="AA2" s="17"/>
      <c r="AB2" s="17"/>
      <c r="AC2" s="17"/>
      <c r="AD2" s="17"/>
      <c r="AE2" s="18"/>
    </row>
    <row r="3">
      <c r="A3" s="19" t="s">
        <v>1</v>
      </c>
      <c r="B3" s="20" t="s">
        <v>2</v>
      </c>
      <c r="C3" s="21" t="s">
        <v>3</v>
      </c>
      <c r="D3" s="20" t="s">
        <v>4</v>
      </c>
      <c r="E3" s="21" t="s">
        <v>5</v>
      </c>
      <c r="F3" s="20" t="s">
        <v>6</v>
      </c>
      <c r="G3" s="22" t="s">
        <v>7</v>
      </c>
      <c r="H3" s="23" t="s">
        <v>8</v>
      </c>
      <c r="I3" s="19" t="s">
        <v>9</v>
      </c>
      <c r="J3" s="24" t="s">
        <v>10</v>
      </c>
      <c r="K3" s="21" t="s">
        <v>11</v>
      </c>
      <c r="L3" s="20" t="s">
        <v>12</v>
      </c>
      <c r="M3" s="25" t="s">
        <v>13</v>
      </c>
      <c r="N3" s="26"/>
      <c r="O3" s="27"/>
      <c r="P3" s="28" t="s">
        <v>14</v>
      </c>
      <c r="Q3" s="29" t="s">
        <v>15</v>
      </c>
      <c r="R3" s="29" t="s">
        <v>16</v>
      </c>
      <c r="S3" s="30" t="s">
        <v>17</v>
      </c>
      <c r="T3" s="31"/>
      <c r="U3" s="32" t="s">
        <v>13</v>
      </c>
      <c r="V3" s="27"/>
      <c r="W3" s="22" t="s">
        <v>14</v>
      </c>
      <c r="X3" s="28" t="s">
        <v>18</v>
      </c>
      <c r="Y3" s="33" t="s">
        <v>19</v>
      </c>
      <c r="Z3" s="28" t="s">
        <v>20</v>
      </c>
      <c r="AA3" s="28" t="s">
        <v>145</v>
      </c>
      <c r="AB3" s="34" t="s">
        <v>146</v>
      </c>
      <c r="AC3" s="28" t="s">
        <v>147</v>
      </c>
      <c r="AD3" s="28" t="s">
        <v>24</v>
      </c>
      <c r="AE3" s="28" t="s">
        <v>25</v>
      </c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6" t="s">
        <v>26</v>
      </c>
      <c r="N4" s="37" t="s">
        <v>27</v>
      </c>
      <c r="O4" s="38" t="s">
        <v>28</v>
      </c>
      <c r="P4" s="35"/>
      <c r="Q4" s="35"/>
      <c r="R4" s="35"/>
      <c r="S4" s="35"/>
      <c r="T4" s="31"/>
      <c r="U4" s="39" t="s">
        <v>27</v>
      </c>
      <c r="V4" s="40" t="s">
        <v>28</v>
      </c>
      <c r="W4" s="35"/>
      <c r="X4" s="35"/>
      <c r="Y4" s="35"/>
      <c r="Z4" s="35"/>
      <c r="AA4" s="35"/>
      <c r="AB4" s="35"/>
      <c r="AC4" s="35"/>
      <c r="AD4" s="35"/>
      <c r="AE4" s="35"/>
    </row>
    <row r="5">
      <c r="A5" s="109">
        <v>1.0</v>
      </c>
      <c r="B5" s="110" t="s">
        <v>29</v>
      </c>
      <c r="C5" s="111" t="s">
        <v>30</v>
      </c>
      <c r="D5" s="112" t="s">
        <v>31</v>
      </c>
      <c r="E5" s="113" t="s">
        <v>32</v>
      </c>
      <c r="F5" s="114" t="s">
        <v>33</v>
      </c>
      <c r="G5" s="115" t="s">
        <v>34</v>
      </c>
      <c r="H5" s="115">
        <v>59600.0</v>
      </c>
      <c r="I5" s="115" t="str">
        <f>IF(ISBLANK(H5),,IF((H5&gt;=4000000),"Celebrity",(IF(AND(H5&lt;4000000, H5&gt;=1000000),"Mega",(IF(AND(H5&lt;1000000, H5&gt;=100000),"Macro",(IF(AND(H5&lt;100000, H5&gt;=10000),"Micro",(IF((H5&lt;10000),"Nano",("Check")))))))))))</f>
        <v>Micro</v>
      </c>
      <c r="J5" s="116">
        <f>L5/H5</f>
        <v>0.1663422819</v>
      </c>
      <c r="K5" s="117">
        <f>average(6103,926100,19300,188200,4910,72100,136900,1577,33100)</f>
        <v>154254.4444</v>
      </c>
      <c r="L5" s="117">
        <f>8000+314+1600</f>
        <v>9914</v>
      </c>
      <c r="M5" s="118" t="s">
        <v>35</v>
      </c>
      <c r="N5" s="119">
        <f t="shared" ref="N5:O5" si="1">U5</f>
        <v>1</v>
      </c>
      <c r="O5" s="120" t="str">
        <f t="shared" si="1"/>
        <v>TT Video</v>
      </c>
      <c r="P5" s="121">
        <f t="shared" ref="P5:P15" si="3">AD5</f>
        <v>2300000</v>
      </c>
      <c r="Q5" s="122"/>
      <c r="R5" s="123" t="s">
        <v>36</v>
      </c>
      <c r="S5" s="122"/>
      <c r="T5" s="124"/>
      <c r="U5" s="125">
        <v>1.0</v>
      </c>
      <c r="V5" s="126" t="s">
        <v>37</v>
      </c>
      <c r="W5" s="127">
        <v>1200000.0</v>
      </c>
      <c r="X5" s="125">
        <f t="shared" ref="X5:X15" si="4">U5*W5</f>
        <v>1200000</v>
      </c>
      <c r="Y5" s="128">
        <v>0.98</v>
      </c>
      <c r="Z5" s="129">
        <v>0.11</v>
      </c>
      <c r="AA5" s="130">
        <f t="shared" ref="AA5:AA15" si="5">(X5/Y5)+(X5*Z5)</f>
        <v>1356489.796</v>
      </c>
      <c r="AB5" s="130">
        <f t="shared" ref="AB5:AB15" si="6">AA5/0.6</f>
        <v>2260816.327</v>
      </c>
      <c r="AC5" s="130">
        <f t="shared" ref="AC5:AC15" si="7">IF(ISBLANK(AB5), "Calc. MU**!", AB5)</f>
        <v>2260816.327</v>
      </c>
      <c r="AD5" s="130">
        <f t="shared" ref="AD5:AD15" si="8">IFERROR(ROUNDUP(AC5,-5),"Calc Published Rate!")</f>
        <v>2300000</v>
      </c>
      <c r="AE5" s="131">
        <f t="shared" ref="AE5:AE15" si="9">IFERROR((AD5-AA5)/AD5, "Calc Published Rate***)")</f>
        <v>0.4102218279</v>
      </c>
    </row>
    <row r="6">
      <c r="A6" s="35"/>
      <c r="B6" s="35"/>
      <c r="C6" s="35"/>
      <c r="D6" s="35"/>
      <c r="E6" s="35"/>
      <c r="F6" s="35"/>
      <c r="G6" s="35"/>
      <c r="H6" s="67"/>
      <c r="I6" s="35"/>
      <c r="J6" s="35"/>
      <c r="K6" s="35"/>
      <c r="L6" s="35"/>
      <c r="M6" s="35"/>
      <c r="N6" s="119">
        <f t="shared" ref="N6:O6" si="2">U6</f>
        <v>1</v>
      </c>
      <c r="O6" s="120" t="str">
        <f t="shared" si="2"/>
        <v>Event attendance</v>
      </c>
      <c r="P6" s="121">
        <f t="shared" si="3"/>
        <v>500000</v>
      </c>
      <c r="Q6" s="122"/>
      <c r="R6" s="35"/>
      <c r="S6" s="122"/>
      <c r="T6" s="124"/>
      <c r="U6" s="125">
        <v>1.0</v>
      </c>
      <c r="V6" s="126" t="s">
        <v>38</v>
      </c>
      <c r="W6" s="127">
        <v>250000.0</v>
      </c>
      <c r="X6" s="125">
        <f t="shared" si="4"/>
        <v>250000</v>
      </c>
      <c r="Y6" s="128">
        <v>0.98</v>
      </c>
      <c r="Z6" s="129">
        <v>0.11</v>
      </c>
      <c r="AA6" s="130">
        <f t="shared" si="5"/>
        <v>282602.0408</v>
      </c>
      <c r="AB6" s="130">
        <f t="shared" si="6"/>
        <v>471003.4014</v>
      </c>
      <c r="AC6" s="130">
        <f t="shared" si="7"/>
        <v>471003.4014</v>
      </c>
      <c r="AD6" s="130">
        <f t="shared" si="8"/>
        <v>500000</v>
      </c>
      <c r="AE6" s="131">
        <f t="shared" si="9"/>
        <v>0.4347959184</v>
      </c>
    </row>
    <row r="7">
      <c r="A7" s="132">
        <v>2.0</v>
      </c>
      <c r="B7" s="133" t="s">
        <v>29</v>
      </c>
      <c r="C7" s="134" t="s">
        <v>43</v>
      </c>
      <c r="D7" s="135" t="s">
        <v>44</v>
      </c>
      <c r="E7" s="136" t="s">
        <v>45</v>
      </c>
      <c r="F7" s="137" t="s">
        <v>33</v>
      </c>
      <c r="G7" s="138" t="s">
        <v>34</v>
      </c>
      <c r="H7" s="138">
        <v>35600.0</v>
      </c>
      <c r="I7" s="138" t="str">
        <f t="shared" ref="I7:I8" si="11">IF(ISBLANK(H7),,IF((H7&gt;=4000000),"Celebrity",(IF(AND(H7&lt;4000000, H7&gt;=1000000),"Mega",(IF(AND(H7&lt;1000000, H7&gt;=100000),"Macro",(IF(AND(H7&lt;100000, H7&gt;=10000),"Micro",(IF((H7&lt;10000),"Nano",("Check")))))))))))</f>
        <v>Micro</v>
      </c>
      <c r="J7" s="139">
        <f t="shared" ref="J7:J8" si="12">L7/H7</f>
        <v>0.1073033708</v>
      </c>
      <c r="K7" s="140">
        <f>average(10700,77600,36600,225100,12300,12300,111000,13000,18000,83000)</f>
        <v>59960</v>
      </c>
      <c r="L7" s="140">
        <f>3100+127+593</f>
        <v>3820</v>
      </c>
      <c r="M7" s="141" t="s">
        <v>35</v>
      </c>
      <c r="N7" s="119">
        <f t="shared" ref="N7:O7" si="10">U7</f>
        <v>1</v>
      </c>
      <c r="O7" s="120" t="str">
        <f t="shared" si="10"/>
        <v>TT Video</v>
      </c>
      <c r="P7" s="121">
        <f t="shared" si="3"/>
        <v>1900000</v>
      </c>
      <c r="Q7" s="122"/>
      <c r="R7" s="122" t="s">
        <v>46</v>
      </c>
      <c r="S7" s="122"/>
      <c r="T7" s="124"/>
      <c r="U7" s="125">
        <v>1.0</v>
      </c>
      <c r="V7" s="126" t="s">
        <v>37</v>
      </c>
      <c r="W7" s="127">
        <v>1000000.0</v>
      </c>
      <c r="X7" s="125">
        <f t="shared" si="4"/>
        <v>1000000</v>
      </c>
      <c r="Y7" s="128">
        <v>0.98</v>
      </c>
      <c r="Z7" s="129">
        <v>0.11</v>
      </c>
      <c r="AA7" s="130">
        <f t="shared" si="5"/>
        <v>1130408.163</v>
      </c>
      <c r="AB7" s="130">
        <f t="shared" si="6"/>
        <v>1884013.605</v>
      </c>
      <c r="AC7" s="130">
        <f t="shared" si="7"/>
        <v>1884013.605</v>
      </c>
      <c r="AD7" s="130">
        <f t="shared" si="8"/>
        <v>1900000</v>
      </c>
      <c r="AE7" s="131">
        <f t="shared" si="9"/>
        <v>0.4050483351</v>
      </c>
    </row>
    <row r="8">
      <c r="A8" s="142">
        <v>3.0</v>
      </c>
      <c r="B8" s="110" t="s">
        <v>29</v>
      </c>
      <c r="C8" s="111" t="s">
        <v>30</v>
      </c>
      <c r="D8" s="112" t="s">
        <v>47</v>
      </c>
      <c r="E8" s="113" t="s">
        <v>48</v>
      </c>
      <c r="F8" s="114" t="s">
        <v>33</v>
      </c>
      <c r="G8" s="115" t="s">
        <v>34</v>
      </c>
      <c r="H8" s="115">
        <v>18100.0</v>
      </c>
      <c r="I8" s="115" t="str">
        <f t="shared" si="11"/>
        <v>Micro</v>
      </c>
      <c r="J8" s="116">
        <f t="shared" si="12"/>
        <v>0.08414364641</v>
      </c>
      <c r="K8" s="117">
        <f>average(98600,12300,6325,31600,34200,676500,3710,6520,9752,31600)</f>
        <v>91110.7</v>
      </c>
      <c r="L8" s="117">
        <f>1400+63+60</f>
        <v>1523</v>
      </c>
      <c r="M8" s="118" t="s">
        <v>35</v>
      </c>
      <c r="N8" s="119">
        <f t="shared" ref="N8:O8" si="13">U8</f>
        <v>1</v>
      </c>
      <c r="O8" s="120" t="str">
        <f t="shared" si="13"/>
        <v>TT Video</v>
      </c>
      <c r="P8" s="121">
        <f t="shared" si="3"/>
        <v>800000</v>
      </c>
      <c r="Q8" s="122"/>
      <c r="R8" s="122"/>
      <c r="S8" s="122"/>
      <c r="T8" s="124"/>
      <c r="U8" s="125">
        <v>1.0</v>
      </c>
      <c r="V8" s="126" t="s">
        <v>37</v>
      </c>
      <c r="W8" s="127">
        <v>400000.0</v>
      </c>
      <c r="X8" s="125">
        <f t="shared" si="4"/>
        <v>400000</v>
      </c>
      <c r="Y8" s="128">
        <v>0.98</v>
      </c>
      <c r="Z8" s="129">
        <v>0.11</v>
      </c>
      <c r="AA8" s="130">
        <f t="shared" si="5"/>
        <v>452163.2653</v>
      </c>
      <c r="AB8" s="130">
        <f t="shared" si="6"/>
        <v>753605.4422</v>
      </c>
      <c r="AC8" s="130">
        <f t="shared" si="7"/>
        <v>753605.4422</v>
      </c>
      <c r="AD8" s="130">
        <f t="shared" si="8"/>
        <v>800000</v>
      </c>
      <c r="AE8" s="131">
        <f t="shared" si="9"/>
        <v>0.4347959184</v>
      </c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119">
        <f t="shared" ref="N9:O9" si="14">U9</f>
        <v>1</v>
      </c>
      <c r="O9" s="120" t="str">
        <f t="shared" si="14"/>
        <v>Event attendance</v>
      </c>
      <c r="P9" s="121">
        <f t="shared" si="3"/>
        <v>200000</v>
      </c>
      <c r="Q9" s="122"/>
      <c r="R9" s="122"/>
      <c r="S9" s="122"/>
      <c r="T9" s="124"/>
      <c r="U9" s="125">
        <v>1.0</v>
      </c>
      <c r="V9" s="126" t="s">
        <v>38</v>
      </c>
      <c r="W9" s="127">
        <v>100000.0</v>
      </c>
      <c r="X9" s="125">
        <f t="shared" si="4"/>
        <v>100000</v>
      </c>
      <c r="Y9" s="128">
        <v>0.98</v>
      </c>
      <c r="Z9" s="129">
        <v>0.11</v>
      </c>
      <c r="AA9" s="130">
        <f t="shared" si="5"/>
        <v>113040.8163</v>
      </c>
      <c r="AB9" s="130">
        <f t="shared" si="6"/>
        <v>188401.3605</v>
      </c>
      <c r="AC9" s="130">
        <f t="shared" si="7"/>
        <v>188401.3605</v>
      </c>
      <c r="AD9" s="130">
        <f t="shared" si="8"/>
        <v>200000</v>
      </c>
      <c r="AE9" s="131">
        <f t="shared" si="9"/>
        <v>0.4347959184</v>
      </c>
    </row>
    <row r="10">
      <c r="A10" s="132">
        <v>4.0</v>
      </c>
      <c r="B10" s="133" t="s">
        <v>29</v>
      </c>
      <c r="C10" s="143" t="s">
        <v>30</v>
      </c>
      <c r="D10" s="135" t="s">
        <v>73</v>
      </c>
      <c r="E10" s="136" t="s">
        <v>74</v>
      </c>
      <c r="F10" s="137" t="s">
        <v>33</v>
      </c>
      <c r="G10" s="138" t="s">
        <v>34</v>
      </c>
      <c r="H10" s="138">
        <v>1961.0</v>
      </c>
      <c r="I10" s="138" t="str">
        <f t="shared" ref="I10:I14" si="16">IF(ISBLANK(H10),,IF((H10&gt;=4000000),"Celebrity",(IF(AND(H10&lt;4000000, H10&gt;=1000000),"Mega",(IF(AND(H10&lt;1000000, H10&gt;=100000),"Macro",(IF(AND(H10&lt;100000, H10&gt;=10000),"Micro",(IF((H10&lt;10000),"Nano",("Check")))))))))))</f>
        <v>Nano</v>
      </c>
      <c r="J10" s="139">
        <f t="shared" ref="J10:J14" si="17">L10/H10</f>
        <v>0</v>
      </c>
      <c r="K10" s="144"/>
      <c r="L10" s="144"/>
      <c r="M10" s="141" t="s">
        <v>35</v>
      </c>
      <c r="N10" s="119">
        <f t="shared" ref="N10:O10" si="15">U10</f>
        <v>1</v>
      </c>
      <c r="O10" s="120" t="str">
        <f t="shared" si="15"/>
        <v>TT Video</v>
      </c>
      <c r="P10" s="121">
        <f t="shared" si="3"/>
        <v>400000</v>
      </c>
      <c r="Q10" s="122"/>
      <c r="R10" s="122"/>
      <c r="S10" s="122"/>
      <c r="T10" s="124"/>
      <c r="U10" s="125">
        <v>1.0</v>
      </c>
      <c r="V10" s="126" t="s">
        <v>37</v>
      </c>
      <c r="W10" s="127">
        <v>200000.0</v>
      </c>
      <c r="X10" s="125">
        <f t="shared" si="4"/>
        <v>200000</v>
      </c>
      <c r="Y10" s="128">
        <v>0.98</v>
      </c>
      <c r="Z10" s="129">
        <v>0.11</v>
      </c>
      <c r="AA10" s="130">
        <f t="shared" si="5"/>
        <v>226081.6327</v>
      </c>
      <c r="AB10" s="130">
        <f t="shared" si="6"/>
        <v>376802.7211</v>
      </c>
      <c r="AC10" s="130">
        <f t="shared" si="7"/>
        <v>376802.7211</v>
      </c>
      <c r="AD10" s="130">
        <f t="shared" si="8"/>
        <v>400000</v>
      </c>
      <c r="AE10" s="131">
        <f t="shared" si="9"/>
        <v>0.4347959184</v>
      </c>
    </row>
    <row r="11">
      <c r="A11" s="132">
        <v>5.0</v>
      </c>
      <c r="B11" s="133" t="s">
        <v>29</v>
      </c>
      <c r="C11" s="143" t="s">
        <v>30</v>
      </c>
      <c r="D11" s="135" t="s">
        <v>84</v>
      </c>
      <c r="E11" s="136" t="s">
        <v>85</v>
      </c>
      <c r="F11" s="137" t="s">
        <v>33</v>
      </c>
      <c r="G11" s="138" t="s">
        <v>86</v>
      </c>
      <c r="H11" s="138">
        <v>7545.0</v>
      </c>
      <c r="I11" s="138" t="str">
        <f t="shared" si="16"/>
        <v>Nano</v>
      </c>
      <c r="J11" s="139">
        <f t="shared" si="17"/>
        <v>3.467329357</v>
      </c>
      <c r="K11" s="140">
        <v>312600.0</v>
      </c>
      <c r="L11" s="140">
        <f>23600+261+2300</f>
        <v>26161</v>
      </c>
      <c r="M11" s="141" t="s">
        <v>35</v>
      </c>
      <c r="N11" s="119">
        <f t="shared" ref="N11:O11" si="18">U11</f>
        <v>1</v>
      </c>
      <c r="O11" s="120" t="str">
        <f t="shared" si="18"/>
        <v>TT Video</v>
      </c>
      <c r="P11" s="121">
        <f t="shared" si="3"/>
        <v>3400000</v>
      </c>
      <c r="Q11" s="122"/>
      <c r="R11" s="122" t="s">
        <v>87</v>
      </c>
      <c r="S11" s="145" t="s">
        <v>88</v>
      </c>
      <c r="T11" s="124"/>
      <c r="U11" s="125">
        <v>1.0</v>
      </c>
      <c r="V11" s="126" t="s">
        <v>37</v>
      </c>
      <c r="W11" s="127">
        <v>1800000.0</v>
      </c>
      <c r="X11" s="125">
        <f t="shared" si="4"/>
        <v>1800000</v>
      </c>
      <c r="Y11" s="128">
        <v>0.98</v>
      </c>
      <c r="Z11" s="129">
        <v>0.11</v>
      </c>
      <c r="AA11" s="130">
        <f t="shared" si="5"/>
        <v>2034734.694</v>
      </c>
      <c r="AB11" s="130">
        <f t="shared" si="6"/>
        <v>3391224.49</v>
      </c>
      <c r="AC11" s="130">
        <f t="shared" si="7"/>
        <v>3391224.49</v>
      </c>
      <c r="AD11" s="130">
        <f t="shared" si="8"/>
        <v>3400000</v>
      </c>
      <c r="AE11" s="131">
        <f t="shared" si="9"/>
        <v>0.4015486194</v>
      </c>
    </row>
    <row r="12">
      <c r="A12" s="132">
        <v>6.0</v>
      </c>
      <c r="B12" s="133" t="s">
        <v>29</v>
      </c>
      <c r="C12" s="143" t="s">
        <v>30</v>
      </c>
      <c r="D12" s="135" t="s">
        <v>105</v>
      </c>
      <c r="E12" s="136" t="s">
        <v>106</v>
      </c>
      <c r="F12" s="137" t="s">
        <v>33</v>
      </c>
      <c r="G12" s="138" t="s">
        <v>107</v>
      </c>
      <c r="H12" s="138">
        <v>22600.0</v>
      </c>
      <c r="I12" s="138" t="str">
        <f t="shared" si="16"/>
        <v>Micro</v>
      </c>
      <c r="J12" s="139">
        <f t="shared" si="17"/>
        <v>0.005088495575</v>
      </c>
      <c r="K12" s="140">
        <v>3600.0</v>
      </c>
      <c r="L12" s="140">
        <f>111+2+2</f>
        <v>115</v>
      </c>
      <c r="M12" s="141" t="s">
        <v>35</v>
      </c>
      <c r="N12" s="119">
        <f t="shared" ref="N12:O12" si="19">U12</f>
        <v>1</v>
      </c>
      <c r="O12" s="120" t="str">
        <f t="shared" si="19"/>
        <v>TT Video</v>
      </c>
      <c r="P12" s="121">
        <f t="shared" si="3"/>
        <v>1200000</v>
      </c>
      <c r="Q12" s="122"/>
      <c r="R12" s="122" t="s">
        <v>108</v>
      </c>
      <c r="S12" s="122"/>
      <c r="T12" s="124"/>
      <c r="U12" s="125">
        <v>1.0</v>
      </c>
      <c r="V12" s="126" t="s">
        <v>37</v>
      </c>
      <c r="W12" s="127">
        <v>600000.0</v>
      </c>
      <c r="X12" s="125">
        <f t="shared" si="4"/>
        <v>600000</v>
      </c>
      <c r="Y12" s="128">
        <v>0.98</v>
      </c>
      <c r="Z12" s="129">
        <v>0.11</v>
      </c>
      <c r="AA12" s="130">
        <f t="shared" si="5"/>
        <v>678244.898</v>
      </c>
      <c r="AB12" s="130">
        <f t="shared" si="6"/>
        <v>1130408.163</v>
      </c>
      <c r="AC12" s="130">
        <f t="shared" si="7"/>
        <v>1130408.163</v>
      </c>
      <c r="AD12" s="130">
        <f t="shared" si="8"/>
        <v>1200000</v>
      </c>
      <c r="AE12" s="131">
        <f t="shared" si="9"/>
        <v>0.4347959184</v>
      </c>
    </row>
    <row r="13">
      <c r="A13" s="132">
        <v>7.0</v>
      </c>
      <c r="B13" s="133" t="s">
        <v>110</v>
      </c>
      <c r="C13" s="143" t="s">
        <v>30</v>
      </c>
      <c r="D13" s="124" t="s">
        <v>120</v>
      </c>
      <c r="E13" s="146" t="s">
        <v>121</v>
      </c>
      <c r="F13" s="147" t="s">
        <v>33</v>
      </c>
      <c r="G13" s="148" t="s">
        <v>113</v>
      </c>
      <c r="H13" s="148">
        <v>9835.0</v>
      </c>
      <c r="I13" s="148" t="str">
        <f t="shared" si="16"/>
        <v>Nano</v>
      </c>
      <c r="J13" s="139">
        <f t="shared" si="17"/>
        <v>0</v>
      </c>
      <c r="K13" s="148">
        <v>2350.0</v>
      </c>
      <c r="L13" s="149"/>
      <c r="M13" s="141" t="s">
        <v>35</v>
      </c>
      <c r="N13" s="119">
        <f t="shared" ref="N13:O13" si="20">U13</f>
        <v>1</v>
      </c>
      <c r="O13" s="120" t="str">
        <f t="shared" si="20"/>
        <v>TT Video</v>
      </c>
      <c r="P13" s="121">
        <f t="shared" si="3"/>
        <v>2400000</v>
      </c>
      <c r="Q13" s="150" t="s">
        <v>148</v>
      </c>
      <c r="R13" s="122"/>
      <c r="S13" s="122" t="s">
        <v>118</v>
      </c>
      <c r="T13" s="124"/>
      <c r="U13" s="125">
        <v>1.0</v>
      </c>
      <c r="V13" s="126" t="s">
        <v>37</v>
      </c>
      <c r="W13" s="127">
        <v>1250000.0</v>
      </c>
      <c r="X13" s="125">
        <f t="shared" si="4"/>
        <v>1250000</v>
      </c>
      <c r="Y13" s="128">
        <v>0.98</v>
      </c>
      <c r="Z13" s="129">
        <v>0.11</v>
      </c>
      <c r="AA13" s="130">
        <f t="shared" si="5"/>
        <v>1413010.204</v>
      </c>
      <c r="AB13" s="130">
        <f t="shared" si="6"/>
        <v>2355017.007</v>
      </c>
      <c r="AC13" s="130">
        <f t="shared" si="7"/>
        <v>2355017.007</v>
      </c>
      <c r="AD13" s="130">
        <f t="shared" si="8"/>
        <v>2400000</v>
      </c>
      <c r="AE13" s="131">
        <f t="shared" si="9"/>
        <v>0.4112457483</v>
      </c>
    </row>
    <row r="14">
      <c r="A14" s="41">
        <v>8.0</v>
      </c>
      <c r="B14" s="42" t="s">
        <v>29</v>
      </c>
      <c r="C14" s="43" t="s">
        <v>30</v>
      </c>
      <c r="D14" s="44" t="s">
        <v>80</v>
      </c>
      <c r="E14" s="45" t="s">
        <v>81</v>
      </c>
      <c r="F14" s="46" t="s">
        <v>33</v>
      </c>
      <c r="G14" s="47" t="s">
        <v>34</v>
      </c>
      <c r="H14" s="48">
        <v>9585.0</v>
      </c>
      <c r="I14" s="48" t="str">
        <f t="shared" si="16"/>
        <v>Nano</v>
      </c>
      <c r="J14" s="49">
        <f t="shared" si="17"/>
        <v>0.1759415754</v>
      </c>
      <c r="K14" s="50">
        <f>average(4646,241600,17100,8963,79900,400000,1146,4642,3421,4694)</f>
        <v>76611.2</v>
      </c>
      <c r="L14" s="51">
        <f>average(86+9+6+5,2425+20+239+420,985+45+39+26,683+17+42+32,1415+45+92+158,6541+97+416+1412,29+9+7+7,685+12+32+29,180+11+17+20,487+30+31+23)</f>
        <v>1686.4</v>
      </c>
      <c r="M14" s="73" t="s">
        <v>35</v>
      </c>
      <c r="N14" s="53">
        <f t="shared" ref="N14:O14" si="21">U14</f>
        <v>1</v>
      </c>
      <c r="O14" s="54" t="str">
        <f t="shared" si="21"/>
        <v>TT Video</v>
      </c>
      <c r="P14" s="55">
        <f t="shared" si="3"/>
        <v>1400000</v>
      </c>
      <c r="Q14" s="56"/>
      <c r="R14" s="56"/>
      <c r="S14" s="58" t="s">
        <v>82</v>
      </c>
      <c r="T14" s="59"/>
      <c r="U14" s="68">
        <v>1.0</v>
      </c>
      <c r="V14" s="61" t="s">
        <v>37</v>
      </c>
      <c r="W14" s="62">
        <v>700000.0</v>
      </c>
      <c r="X14" s="60">
        <f t="shared" si="4"/>
        <v>700000</v>
      </c>
      <c r="Y14" s="63">
        <v>0.98</v>
      </c>
      <c r="Z14" s="64">
        <v>0.11</v>
      </c>
      <c r="AA14" s="65">
        <f t="shared" si="5"/>
        <v>791285.7143</v>
      </c>
      <c r="AB14" s="65">
        <f t="shared" si="6"/>
        <v>1318809.524</v>
      </c>
      <c r="AC14" s="65">
        <f t="shared" si="7"/>
        <v>1318809.524</v>
      </c>
      <c r="AD14" s="65">
        <f t="shared" si="8"/>
        <v>1400000</v>
      </c>
      <c r="AE14" s="66">
        <f t="shared" si="9"/>
        <v>0.4347959184</v>
      </c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53">
        <f t="shared" ref="N15:O15" si="22">U15</f>
        <v>1</v>
      </c>
      <c r="O15" s="54" t="str">
        <f t="shared" si="22"/>
        <v>Event attendance</v>
      </c>
      <c r="P15" s="55">
        <f t="shared" si="3"/>
        <v>0</v>
      </c>
      <c r="Q15" s="56"/>
      <c r="R15" s="56"/>
      <c r="S15" s="58" t="s">
        <v>83</v>
      </c>
      <c r="T15" s="59"/>
      <c r="U15" s="68">
        <v>1.0</v>
      </c>
      <c r="V15" s="61" t="s">
        <v>38</v>
      </c>
      <c r="W15" s="62">
        <v>0.0</v>
      </c>
      <c r="X15" s="60">
        <f t="shared" si="4"/>
        <v>0</v>
      </c>
      <c r="Y15" s="63">
        <v>0.98</v>
      </c>
      <c r="Z15" s="64">
        <v>0.11</v>
      </c>
      <c r="AA15" s="65">
        <f t="shared" si="5"/>
        <v>0</v>
      </c>
      <c r="AB15" s="65">
        <f t="shared" si="6"/>
        <v>0</v>
      </c>
      <c r="AC15" s="65">
        <f t="shared" si="7"/>
        <v>0</v>
      </c>
      <c r="AD15" s="65">
        <f t="shared" si="8"/>
        <v>0</v>
      </c>
      <c r="AE15" s="66" t="str">
        <f t="shared" si="9"/>
        <v>Calc Published Rate***)</v>
      </c>
    </row>
  </sheetData>
  <mergeCells count="67">
    <mergeCell ref="H8:H9"/>
    <mergeCell ref="I8:I9"/>
    <mergeCell ref="J8:J9"/>
    <mergeCell ref="K8:K9"/>
    <mergeCell ref="L8:L9"/>
    <mergeCell ref="M8:M9"/>
    <mergeCell ref="A8:A9"/>
    <mergeCell ref="B8:B9"/>
    <mergeCell ref="C8:C9"/>
    <mergeCell ref="D8:D9"/>
    <mergeCell ref="E8:E9"/>
    <mergeCell ref="F8:F9"/>
    <mergeCell ref="G8:G9"/>
    <mergeCell ref="H3:H4"/>
    <mergeCell ref="I3:I4"/>
    <mergeCell ref="J3:J4"/>
    <mergeCell ref="K3:K4"/>
    <mergeCell ref="L3:L4"/>
    <mergeCell ref="M3:O3"/>
    <mergeCell ref="P3:P4"/>
    <mergeCell ref="Z3:Z4"/>
    <mergeCell ref="AA3:AA4"/>
    <mergeCell ref="AB3:AB4"/>
    <mergeCell ref="AC3:AC4"/>
    <mergeCell ref="AD3:AD4"/>
    <mergeCell ref="AE3:AE4"/>
    <mergeCell ref="Q3:Q4"/>
    <mergeCell ref="R3:R4"/>
    <mergeCell ref="S3:S4"/>
    <mergeCell ref="U3:V3"/>
    <mergeCell ref="W3:W4"/>
    <mergeCell ref="X3:X4"/>
    <mergeCell ref="Y3:Y4"/>
    <mergeCell ref="A3:A4"/>
    <mergeCell ref="B3:B4"/>
    <mergeCell ref="C3:C4"/>
    <mergeCell ref="D3:D4"/>
    <mergeCell ref="E3:E4"/>
    <mergeCell ref="F3:F4"/>
    <mergeCell ref="G3:G4"/>
    <mergeCell ref="H5:H6"/>
    <mergeCell ref="I5:I6"/>
    <mergeCell ref="J5:J6"/>
    <mergeCell ref="K5:K6"/>
    <mergeCell ref="L5:L6"/>
    <mergeCell ref="M5:M6"/>
    <mergeCell ref="R5:R6"/>
    <mergeCell ref="A5:A6"/>
    <mergeCell ref="B5:B6"/>
    <mergeCell ref="C5:C6"/>
    <mergeCell ref="D5:D6"/>
    <mergeCell ref="E5:E6"/>
    <mergeCell ref="F5:F6"/>
    <mergeCell ref="G5:G6"/>
    <mergeCell ref="H14:H15"/>
    <mergeCell ref="I14:I15"/>
    <mergeCell ref="J14:J15"/>
    <mergeCell ref="K14:K15"/>
    <mergeCell ref="L14:L15"/>
    <mergeCell ref="M14:M15"/>
    <mergeCell ref="A14:A15"/>
    <mergeCell ref="B14:B15"/>
    <mergeCell ref="C14:C15"/>
    <mergeCell ref="D14:D15"/>
    <mergeCell ref="E14:E15"/>
    <mergeCell ref="F14:F15"/>
    <mergeCell ref="G14:G15"/>
  </mergeCells>
  <dataValidations>
    <dataValidation type="list" allowBlank="1" showErrorMessage="1" sqref="G13">
      <formula1>"Actor,Actress,Animal Hobbies,Animator,Art,Author,Beauty,Business,Buzzer,Chef,Comedy,Community,Couple,Culinary,Dads,Dance,Design,DJ Set,Drama,Dubber,Education,Entertainment,Entrepreneur,Family,Fanbase,Fashion,Film,Financial,Foodies,Gaming,Health,Hijab,Home"&amp;" Cook,Illustrator,Informative,Kids,Lifestyle,Marvel Fans,Media,Menfess,Mom,Movie,Movie Maker,Movie Reviewer,Music,Musician,News,Otomotif,Otomotive,Parenting,Parents,Photography,Public Figure,Self Growth,Singer,Sneakers,Sport,Storyteller,Technology,Travel,"&amp;"Visual Art,Vlog,Young Couple,Young Professional,Kpop,Gamers &amp; Lifestyle,Fashion &amp; Lifestyle,Sport &amp; Lifestyle,Beauty &amp; Lifestyle,DIY,Home Living,Expert,athlete,Working Mom,Cosplayer,Make Up Artist,Pet Content Creator,Bapak-bapak"</formula1>
    </dataValidation>
    <dataValidation type="list" allowBlank="1" showErrorMessage="1" sqref="F5 F7:F8 F10:F14">
      <formula1>"Instagram,TikTok,Youtube,X ( Twitter),Facebook"</formula1>
    </dataValidation>
    <dataValidation type="list" allowBlank="1" showErrorMessage="1" sqref="V5:V15">
      <formula1>"Ads,As a Talent,Event attendance,Boost Ads,Brand Ambassador,Bulked Rate,Digital Content Usage,IG Feed Carousel,IG Feed Single Image,IG Live,IG Reels,IG Story Session with Link,IG Story Session without Link,IG Story with Link,IG Story without Link,Tap Link"&amp;" - 1 story,IG TV,IG Video Rate,Link on Bio Placement,Mention &amp; Tag Brand,Mention E-commerce,Mirroring IG TT,Owning Content,TT Live,TT Live with Yellow Cart,TT Video,TT Video + YC,TW Post,TW Post w/ Image,TW Thread,Youtube Short,Youtube Video Built-in/Eps,"&amp;"Youtube Video Full,Youtube Video Product Placement,Post Photo with Komunitas,Post Video with Komunitas,Visit Store Terdekat + Incl. Buying Product,IG Reels Mirroring TikTok,Tiktok Story,Tag Collab Brand IG,Tag Collab Brand TT,YouTube Program (series),YouT"&amp;"ube Full,Boost Ads 30 Days,Series of Recipes,Cooking Demo,Additional Talent,Other,YouTube Adlibs,Transportation Fee,Extra Charge"</formula1>
    </dataValidation>
    <dataValidation type="list" allowBlank="1" showErrorMessage="1" sqref="B13">
      <formula1>"Aliy,Gress,Salwa"</formula1>
    </dataValidation>
    <dataValidation type="list" allowBlank="1" showErrorMessage="1" sqref="B5 B7:B8 B10:B12 B14">
      <formula1>"Aliy,Gress"</formula1>
    </dataValidation>
    <dataValidation type="list" allowBlank="1" showErrorMessage="1" sqref="C5 C7:C8 C10:C14">
      <formula1>"Move to Client,Approved by Client,Unavail,New List,HOLD,Rejected,AVAILABLE,Approaching,Req Client,Need Confirmation,Need Rate Nego,Payment Gateway,Referensi,Replied"</formula1>
    </dataValidation>
    <dataValidation type="list" allowBlank="1" showErrorMessage="1" sqref="G5 G7:G8 G10:G12 G14">
      <formula1>"Actor,Actress,Animal Hobbies,Animator,Art,Author,Beauty,Business,Buzzer,Chef,Comedy,Community,Couple,Culinary,Dads,Dance,Design,DJ Set,Drama,Dubber,Education,Entertainment,Entrepreneur,Family,Fanbase,Fashion,Film,Financial,Foodies,Gaming,Health,Hijab,Home"&amp;" Cook,Illustrator,Informative,Kids,Lifestyle,Marvel Fans,Media,Menfess,Mom,Movie,Movie Maker,Movie Reviewer,Music,Musician,News,Otomotif,Otomotive,Parenting,Parents,Photography,Public Figure,Self Growth,Singer,Sneakers,Sport,Storyteller,Technology,Travel,"&amp;"Visual Art,Vlog,Young Couple,Young Professional,Kpop,Gamers &amp; Lifestyle,Fashion &amp; Lifestyle,Sport &amp; Lifestyle,Beauty &amp; Lifestyle,DIY,Home Living,Expert,athlete,Working Mom,Cosplayer,Make Up Artist,Pet Content Creator"</formula1>
    </dataValidation>
  </dataValidations>
  <hyperlinks>
    <hyperlink r:id="rId1" ref="E5"/>
    <hyperlink r:id="rId2" ref="E7"/>
    <hyperlink r:id="rId3" ref="E8"/>
    <hyperlink r:id="rId4" ref="E10"/>
    <hyperlink r:id="rId5" ref="E11"/>
    <hyperlink r:id="rId6" ref="E12"/>
    <hyperlink r:id="rId7" ref="E13"/>
    <hyperlink r:id="rId8" ref="E14"/>
  </hyperlinks>
  <drawing r:id="rId9"/>
</worksheet>
</file>